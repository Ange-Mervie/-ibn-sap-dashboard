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autoCompressPictures="0"/>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9200" windowHeight="6930" tabRatio="500"/>
  </bookViews>
  <sheets>
    <sheet name="PM Issue Tracking" sheetId="1" r:id="rId1"/>
    <sheet name="RECOMMENDATIONS" sheetId="5" r:id="rId2"/>
    <sheet name="Key - Do Not Delete" sheetId="4" r:id="rId3"/>
    <sheet name="-Disclaimer-" sheetId="2" state="hidden" r:id="rId4"/>
  </sheets>
  <definedNames>
    <definedName name="_xlnm._FilterDatabase" localSheetId="0" hidden="1">'PM Issue Tracking'!$A$15:$R$108</definedName>
    <definedName name="_xlnm.Print_Area" localSheetId="0">'PM Issue Tracking'!$B$2:$K$32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6" i="1" l="1"/>
  <c r="H7" i="1"/>
  <c r="H8" i="1"/>
  <c r="H5" i="1"/>
  <c r="F6" i="1"/>
  <c r="F7" i="1"/>
  <c r="F8" i="1"/>
  <c r="F9" i="1"/>
  <c r="F10" i="1"/>
  <c r="F5" i="1"/>
  <c r="F11" i="1" l="1"/>
</calcChain>
</file>

<file path=xl/comments1.xml><?xml version="1.0" encoding="utf-8"?>
<comments xmlns="http://schemas.openxmlformats.org/spreadsheetml/2006/main">
  <authors>
    <author>tc={750D7F0F-F35B-48BA-B520-9A93D504F67C}</author>
    <author>tc={1187FE78-0EBF-4E36-ADCF-E84DA47493B0}</author>
    <author>tc={AD9151E3-7D8B-4F65-97EE-379D7E905193}</author>
  </authors>
  <commentList>
    <comment ref="C82" authorId="0" shapeId="0">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ref with line 76 and 77 and need to confirwith user if solution proposed solved these 2</t>
        </r>
      </text>
    </comment>
    <comment ref="C86" authorId="1" shapeId="0">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issue exist already with diff description</t>
        </r>
      </text>
    </comment>
    <comment ref="C87" authorId="2" shapeId="0">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issue exist already with different description</t>
        </r>
      </text>
    </comment>
  </commentList>
</comments>
</file>

<file path=xl/sharedStrings.xml><?xml version="1.0" encoding="utf-8"?>
<sst xmlns="http://schemas.openxmlformats.org/spreadsheetml/2006/main" count="637" uniqueCount="213">
  <si>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</si>
  <si>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Status</t>
  </si>
  <si>
    <t>Priority</t>
  </si>
  <si>
    <t>Status Tally</t>
  </si>
  <si>
    <t>Priority Tally</t>
  </si>
  <si>
    <t>Not Started</t>
  </si>
  <si>
    <t>In Progress</t>
  </si>
  <si>
    <t>Low</t>
  </si>
  <si>
    <t>Medium</t>
  </si>
  <si>
    <t>High</t>
  </si>
  <si>
    <t>Issue No.</t>
  </si>
  <si>
    <t>Issue Description</t>
  </si>
  <si>
    <t>Raised By</t>
  </si>
  <si>
    <t>Close Date</t>
  </si>
  <si>
    <t>Comments</t>
  </si>
  <si>
    <t>On Hold</t>
  </si>
  <si>
    <t>Blocked</t>
  </si>
  <si>
    <t>Closed</t>
  </si>
  <si>
    <t>Critical</t>
  </si>
  <si>
    <t>Key - Do Not Delete</t>
  </si>
  <si>
    <t>Project Information</t>
  </si>
  <si>
    <t>SAP PROJECTS</t>
  </si>
  <si>
    <t>ANGA</t>
  </si>
  <si>
    <t>SAP Module</t>
  </si>
  <si>
    <t>Bank</t>
  </si>
  <si>
    <t>SAP module</t>
  </si>
  <si>
    <t>Bank Treso</t>
  </si>
  <si>
    <t>FI_AA</t>
  </si>
  <si>
    <t>FI_AP</t>
  </si>
  <si>
    <t>FI_AR</t>
  </si>
  <si>
    <t>FI_FM</t>
  </si>
  <si>
    <t>HCM</t>
  </si>
  <si>
    <t>MM_CONTRACT</t>
  </si>
  <si>
    <t>MM_INVENTORY</t>
  </si>
  <si>
    <t>MM_PROCUREMENT</t>
  </si>
  <si>
    <t>BLANK</t>
  </si>
  <si>
    <t>le blocage ci dessous apparait après avoir fait la saisie qui transfert un montant du code Immos 4900015 au code immo 4900009.</t>
  </si>
  <si>
    <t>MAD SCB n'imprime pas</t>
  </si>
  <si>
    <t>SAP SUPPORT Issue Tracking SCDP</t>
  </si>
  <si>
    <t>waiting for customer</t>
  </si>
  <si>
    <t>waiting for Customer</t>
  </si>
  <si>
    <t>Blocage cloture  Annuel et budgetaire 2024</t>
  </si>
  <si>
    <t>Paie pour la period nov/dec 2025 en simulation a le statut errone</t>
  </si>
  <si>
    <t>Developpement d'un nouveau fichier pour les paiement international pour que ca constituent certain detail precis</t>
  </si>
  <si>
    <t>test results presented. waiting for user to test and confirm for changes to be moved to production system</t>
  </si>
  <si>
    <t xml:space="preserve">Requete ouverture periode Logistique </t>
  </si>
  <si>
    <t>Résolution des problèmes liés immobilisation en cours (transfert vers immo final) et création BC Marché</t>
  </si>
  <si>
    <t>modification sur nom bancaire.Constat d’une mention ‘BONANJO’ sur toutes les banques payantes qui a été modifier</t>
  </si>
  <si>
    <t>Adjustement de stock et transfere de stock entre magasin</t>
  </si>
  <si>
    <t xml:space="preserve">blocage Facturation de certaine commande avec la zone grise </t>
  </si>
  <si>
    <t>Readjustement de la ligne budgetaire liee a la paie, modification indemnite de transport, blocage simulation paie pour period jan et fev 2026</t>
  </si>
  <si>
    <t>PROPOSITION DE LIMITATION DU MONTANT DU COUT D'OBJECTIF DANS SAP</t>
  </si>
  <si>
    <t>need to discuss detail requirement with customer</t>
  </si>
  <si>
    <t>changement du nom de la banque BANQUE ATLANTIQUE par AFG BANK Cameroun </t>
  </si>
  <si>
    <t>TRASACTION PERMETTANT D'EXTRAIRE LES INFORMATION FOURNISSEUR INCLUANT LE NUI</t>
  </si>
  <si>
    <t>problème de réception et facturation des marchés (2025000446 ET 2024000075)</t>
  </si>
  <si>
    <t>ABAP error when running sp01-Spool</t>
  </si>
  <si>
    <t>CLOTURE</t>
  </si>
  <si>
    <t>BASIS</t>
  </si>
  <si>
    <t>FICO MM SD HR FM</t>
  </si>
  <si>
    <t>COMPANY</t>
  </si>
  <si>
    <t>IBN GROUP SARL (IBN-SPOT)</t>
  </si>
  <si>
    <t>Delivery Manager</t>
  </si>
  <si>
    <t>TOTAL</t>
  </si>
  <si>
    <t>FUNCTIONAL RECOMMENDATIONS</t>
  </si>
  <si>
    <t>MODULE</t>
  </si>
  <si>
    <t>RECOMMENDATION</t>
  </si>
  <si>
    <t>FI-BANK</t>
  </si>
  <si>
    <t xml:space="preserve">requesting users to always send error screen shots as  attached image  to their issue so that proper solutions are given    </t>
  </si>
  <si>
    <t>FI-AA</t>
  </si>
  <si>
    <t>some Asset subledger GL accounts which are meant to be reconciliation accounts are not set to post automatically only in the GL master. As a result user always use manual transactions in FI like fb01 FB60 to post asset enteries . This will always cause inconsistences between the subledger and GL account</t>
  </si>
  <si>
    <t>OBSERVATION</t>
  </si>
  <si>
    <t>User always send issues without screen shot of error message encountered during posting</t>
  </si>
  <si>
    <t>set all asset subledger accounts to reconciliation accounts in the Gl Master to post automatically only. All asset transfers and adjustment postings should be done using asset transaction codes in AA</t>
  </si>
  <si>
    <t>EX GL 23450000 AMENAGEMENTS ET AGENCEMENTS DES BATIMENTS</t>
  </si>
  <si>
    <t>FI-AP</t>
  </si>
  <si>
    <t>GR and IR inconsistencies</t>
  </si>
  <si>
    <t>to avoid system variances it is better to always IR what has been GR</t>
  </si>
  <si>
    <t>MM-ACHAT</t>
  </si>
  <si>
    <t xml:space="preserve">purchase orders are created with item category and Account assignment together </t>
  </si>
  <si>
    <t>PO should not contain both item category and account assignment if it has to go through GR process</t>
  </si>
  <si>
    <t>MM-INVENTORY</t>
  </si>
  <si>
    <t xml:space="preserve">storage locations exist which are not used. Physical iventory documents created but not posted till the end </t>
  </si>
  <si>
    <t>need to carry out storage location checks and transfer stock where existing physically. Also all physical inventory documents created and not posted should be deleted so that during next stock adjustment process no issues should be encountered</t>
  </si>
  <si>
    <t>COMMENT</t>
  </si>
  <si>
    <t>SAP SUPPORT will provide all necessary quick reports to assist users in their analysis</t>
  </si>
  <si>
    <t>HCM-HR</t>
  </si>
  <si>
    <t xml:space="preserve">user has difficulties running complete payroll process. </t>
  </si>
  <si>
    <t>SAP support to organise training program for this purpose</t>
  </si>
  <si>
    <t>FM</t>
  </si>
  <si>
    <t>Budget issue always coming up during payroll run</t>
  </si>
  <si>
    <t>need to review complete process of assignment of commitment item and account assignment budget allocation</t>
  </si>
  <si>
    <t>Purchase order and AUC not having same fund center.need to align</t>
  </si>
  <si>
    <t>Requete liee au immobilisation.Immos définitive au lieu d'etre en encours (immo 3401191)</t>
  </si>
  <si>
    <t>send mail for business to accept reduction of depreciation value for 2025.Depreciation ran for 2025. need to simulate  postings and check best solution applicable.</t>
  </si>
  <si>
    <t>client asked to stop development report</t>
  </si>
  <si>
    <t>Rapprochement paie fevrier</t>
  </si>
  <si>
    <t>modification matricule 1210 permettant un sursalaire attendu</t>
  </si>
  <si>
    <t>Requete liee au matricule 1211 qui na pas de retenue cotisation cnps sur son bulletin de paie</t>
  </si>
  <si>
    <t>comptabilisation dans le compte 40910000</t>
  </si>
  <si>
    <t>immobilisation en cours desactive et bloque reception de marche</t>
  </si>
  <si>
    <t>Rapprochement acomptes fournisseur</t>
  </si>
  <si>
    <t>Demande d’appui pour vérification des paramétrages analytiques (Paie et Immobilisations)</t>
  </si>
  <si>
    <t>client to provide more info on his requirement</t>
  </si>
  <si>
    <t>CONTRE-PASSATION IMPOSSIBLE</t>
  </si>
  <si>
    <t>message d'erreur liee au centre de couts à la suite de la tentative de comptabilisation de la paie du mois mars 2026</t>
  </si>
  <si>
    <t>matricules 1138-1060-1090 qui ont connu des promotions d'agents de maitrises à cadre. Cependant, après avoir procéder à leurs reclassement, la rubrique indemnité kilométrique (qui doit être de 85.000 FCFA n'apparait pas sur leurs bulletins </t>
  </si>
  <si>
    <t>Par ailleurs, à la suite des changements structurels observés à la SCDP, j'aimerais que soit changé l'entête de nos ordres de mission </t>
  </si>
  <si>
    <t>BESOIN DU MANUEL  ET DE LA TRANSACTION PERMETTANT DE PASSER LES ECRITURES dans le compte 40170000</t>
  </si>
  <si>
    <t>comment transfere partiellement les valeur d'acquisition dans un immo en cours a l'autre</t>
  </si>
  <si>
    <t>fournisseur GESIP n'arrive pas a etre paie .probleme avec impot honorraire</t>
  </si>
  <si>
    <t>modifie information bank sur base de donnee fournisseur</t>
  </si>
  <si>
    <t>rapport de solde des actifs montrant également la durée de vie utile des actifs</t>
  </si>
  <si>
    <t>MAGDALEINE</t>
  </si>
  <si>
    <t>YANNICK</t>
  </si>
  <si>
    <t>REMY</t>
  </si>
  <si>
    <t>LUDIVINE</t>
  </si>
  <si>
    <t>DOFC</t>
  </si>
  <si>
    <t>Waiting for user to be available so as to assist in testing solution provided.</t>
  </si>
  <si>
    <t>waiting for user to follow manual sent to perform transaction and confirm</t>
  </si>
  <si>
    <t>open Date</t>
  </si>
  <si>
    <t>Assoua</t>
  </si>
  <si>
    <t>Bloquer la paie de matricule 780 mais son net apparaitre  toujour</t>
  </si>
  <si>
    <t>message d'erreur en creant ordre de mission:Fournisseur 600970 non prevu dans societe 1000Par ailleurs les informations relatives à la fonction n'apparaissent pas sur son ordre de mission </t>
  </si>
  <si>
    <t>JEFFREY</t>
  </si>
  <si>
    <t>NGONKA</t>
  </si>
  <si>
    <t>MARIE-LINE</t>
  </si>
  <si>
    <t>YENGUE</t>
  </si>
  <si>
    <t>MOISE</t>
  </si>
  <si>
    <t>MAD SCB n'imprime pas (SPOOL OVERFLOW ERROR)</t>
  </si>
  <si>
    <t xml:space="preserve">MAD AFRILAND n'imprime pas </t>
  </si>
  <si>
    <t>ECART ENTRE LA BALANCE GENERALE ET LE FICHIER DES IMMOBILISATIONS</t>
  </si>
  <si>
    <t>waiting for user to test solution proposed</t>
  </si>
  <si>
    <t>Rapport sur le compte 408 en suivant le type d'extraction envoie par mail</t>
  </si>
  <si>
    <t>Type d'extraction sollicite sur les immobilisation avec tous les info CODE/COMPTE IMMOBILISATION,DESIGNATIONS
DATE MISE EN SERVICE,VALEUR ACQUISITION,AMORTS EXERCISE,AMORTS CUMULES,DATE DE DEBUT AMORTS
DUREE,VALEUR COMPTABLE NETTE</t>
  </si>
  <si>
    <t>NGUIAMBA</t>
  </si>
  <si>
    <t>Saisir sur les immobilisation dans 2026 ne passe pas</t>
  </si>
  <si>
    <t xml:space="preserve">Transmission liste d'utilisateurs SAP et rôles existante </t>
  </si>
  <si>
    <t xml:space="preserve"> l'activation des écritures "négatives" dans SAP principalement pour les écritures de contrepassation (annulation)</t>
  </si>
  <si>
    <t>Blocage saisie des transferts PDR</t>
  </si>
  <si>
    <t>Fabrice Bihina</t>
  </si>
  <si>
    <t>rapport de relance de paiement</t>
  </si>
  <si>
    <t>rapport de paiement en double</t>
  </si>
  <si>
    <t>DGA</t>
  </si>
  <si>
    <t>RAPPORT D'ÂGE DES FOURNISSEURS ET DES CLIENTS</t>
  </si>
  <si>
    <t>test solution in FBL1N with layout and confirrm</t>
  </si>
  <si>
    <t xml:space="preserve">need to provide information on type of extraction to be seen </t>
  </si>
  <si>
    <t xml:space="preserve"> le code recupere le libelle du materiel sur le poste. J'ai l'impression qu'il va falloir modifier le programme pour gérer le cas de GR service</t>
  </si>
  <si>
    <t xml:space="preserve">Problème d'impression GR </t>
  </si>
  <si>
    <t>NGUIAMBA/jeffrey</t>
  </si>
  <si>
    <t xml:space="preserve">possibbilites des ecritures negatives </t>
  </si>
  <si>
    <t>comptabilisation dans le compte 25210000</t>
  </si>
  <si>
    <t>waiting for user to provide special gl account for foreign supplier</t>
  </si>
  <si>
    <t>Blocage compte 40810000 pour imputation manuel</t>
  </si>
  <si>
    <t>waiting for DOFC to confirm</t>
  </si>
  <si>
    <t>comptabilisation dans le compte 25210000 pour fournisseur etranger,(BLOCAGE SAISIE DANS F-90 (FOURNISSEURS ETRANGER)</t>
  </si>
  <si>
    <t>Un tiers avec deux comptes collectifs différents</t>
  </si>
  <si>
    <t>solliciter la création pour retenue à la source dans l'infotype 14 des comptes après :                                                                                            -  Orange pour le personnel ayant acquis des terminaux chez ledit opérateur ;                                                                                           -Achat pagne pour le personnel ayant acquis des pagnes supplémentaires</t>
  </si>
  <si>
    <r>
      <t xml:space="preserve">pour ce qui est du </t>
    </r>
    <r>
      <rPr>
        <b/>
        <sz val="12"/>
        <color rgb="FF000000"/>
        <rFont val="Aptos"/>
        <family val="2"/>
      </rPr>
      <t>personnel en détachement</t>
    </r>
    <r>
      <rPr>
        <sz val="12"/>
        <color rgb="FF000000"/>
        <rFont val="Aptos"/>
        <family val="2"/>
      </rPr>
      <t xml:space="preserve">, rubrique 5060, vous voudrez bien créer </t>
    </r>
    <r>
      <rPr>
        <b/>
        <sz val="12"/>
        <color rgb="FF000000"/>
        <rFont val="Aptos"/>
        <family val="2"/>
      </rPr>
      <t>une rubrique cotisation patronale retraite fonctionnaire</t>
    </r>
    <r>
      <rPr>
        <sz val="12"/>
        <color rgb="FF000000"/>
        <rFont val="Aptos"/>
        <family val="2"/>
      </rPr>
      <t>, dont le montant sera saisi, comme la part salariale, et reversé sauf meilleur avis de la comptabilité dans le même compte</t>
    </r>
  </si>
  <si>
    <t>nous voudrons nous pencher sur l'affichage et les éléments constitutifs des indemnités de congés payés qui ressortent des chiffres négatifs sur les bulletins du personnel.</t>
  </si>
  <si>
    <t>MBELLA</t>
  </si>
  <si>
    <t>bloquer le tier 102461</t>
  </si>
  <si>
    <t>besoin de  l’extraction système des taxes retenues à la source au titre de l’exercice 2025. </t>
  </si>
  <si>
    <t>BLOCAGE COMMANDE 2025000344 AURELY BUSINESS CENTER ( COMPTE 40810000 )</t>
  </si>
  <si>
    <t>Requête relative à la gestion des prêts</t>
  </si>
  <si>
    <t>Payment status</t>
  </si>
  <si>
    <t>PAID</t>
  </si>
  <si>
    <t xml:space="preserve">INVOICED </t>
  </si>
  <si>
    <t xml:space="preserve">NOT INVOICED </t>
  </si>
  <si>
    <t>BIHINA</t>
  </si>
  <si>
    <t>SAISIE COMMANDE SCELLES 2025 &amp; FACTURATION.BLOCAGE REPORT BUDGETAIRE</t>
  </si>
  <si>
    <t>Extraction du fichier des immo avec codes barres</t>
  </si>
  <si>
    <t>difficultés lors de l’annulation d'une réception dans le système. 5000002136.apres annulation APC sera negative</t>
  </si>
  <si>
    <t xml:space="preserve">explained reason to user and waiting for him to proceed </t>
  </si>
  <si>
    <t>désactiver les pars salariales et patronales sur son bulletin ? Mat 1015</t>
  </si>
  <si>
    <t>Doubles engagements budgétaire</t>
  </si>
  <si>
    <t>pas possible de fais imprimes les paiements et autres</t>
  </si>
  <si>
    <t>Annie</t>
  </si>
  <si>
    <t>some users do not have execute buttons when they execute Pos</t>
  </si>
  <si>
    <t>Correction period carried forward</t>
  </si>
  <si>
    <t>system cancelled budget line of 2025 and engaged it in 2026</t>
  </si>
  <si>
    <t>Account 408 not working properly with budget lines as well as others</t>
  </si>
  <si>
    <t>Form Jan to May 445m have been wrongly consumed, source double consumption of budget</t>
  </si>
  <si>
    <t>Problem with payment of PO blocking because PO amount is different from billing amount</t>
  </si>
  <si>
    <t>Send manual for grouping all PO items so it matches billing amount and PO amount(at IBN create a same scenario and test of a PO that block because payment amount is different)</t>
  </si>
  <si>
    <t>Purchase orders in 2025 received in 2026, user wants to cancel</t>
  </si>
  <si>
    <t>Dessy creates Pos and modifies them but the budget team do not see his changes.Technically the interface gives doubles.</t>
  </si>
  <si>
    <t>SAP period end SAP best practice procedure</t>
  </si>
  <si>
    <t>Continous training program, to see Akam</t>
  </si>
  <si>
    <t xml:space="preserve"> Jan -Juillet 26 - Dashboard </t>
  </si>
  <si>
    <t>Deversement partiel paie pour period avril, mai et juin</t>
  </si>
  <si>
    <t>cloture annuelle finance</t>
  </si>
  <si>
    <t>Rapport d'extraction enfant par employe</t>
  </si>
  <si>
    <t>Rapport d'extraction salarial par unite</t>
  </si>
  <si>
    <t>GESTION DES ACTIFS IMMOBILISES DE TYPE TITRE DE PARTICIPATION</t>
  </si>
  <si>
    <t xml:space="preserve">Banque SCB THK &amp; ECOBANK pour paiement </t>
  </si>
  <si>
    <t xml:space="preserve">Toutes les banks nouvellement cree (CCA) doivent pouvoir fais le paiement dans f110 et imprimer PLUS Rapport de paiement fournisseur </t>
  </si>
  <si>
    <t>Role et authorization a assigner pour creation bank</t>
  </si>
  <si>
    <t>BAKETI</t>
  </si>
  <si>
    <t>MATRICULE 83 dont l'infotype 41 sur la date de gestion est bien activé mais son indemnité de congé qui devait passer en août 2026 n'est pas passé.</t>
  </si>
  <si>
    <t>l'extraction du grand livre des comptes avec les noms des fournisseurs et des clients.</t>
  </si>
  <si>
    <t>User needs to correctly assign all employees per cost center</t>
  </si>
  <si>
    <t>SOD BASIS</t>
  </si>
  <si>
    <t>rapport de nombre d'enfant par employer dois matcher avec nombre sur bulletin de paie</t>
  </si>
  <si>
    <t>Matricule 901 suspendu mais bulletin de paie ne s'affiche pas</t>
  </si>
  <si>
    <t>Deversement partiel paie pour period avril et juin des matricule exclu pendant period reel</t>
  </si>
  <si>
    <t>retrp du mois d'août 2026  sur 60 matricule qui me fait avoir 60 messages d'erreurs </t>
  </si>
  <si>
    <t>Procédure d’annulation d’une réception service</t>
  </si>
  <si>
    <t>Non prise en compte de l’entrée en stock des Articles.Consulter les stocks après toute réception</t>
  </si>
  <si>
    <t>Anomalie SAP – Validation des bons de commande</t>
  </si>
  <si>
    <t>DAG</t>
  </si>
  <si>
    <t>PROBLEME DE RECEPTION BC 2026000085</t>
  </si>
  <si>
    <t>BLOCAGE LORS DU TRAITEMENT DES DROITS DE DOUANE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</si>
</sst>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00_);\(&quot;$&quot;#,##0.00\)"/>
    <numFmt numFmtId="165" formatCode="_(&quot;$&quot;* #,##0.00_);_(&quot;$&quot;* \(#,##0.00\);_(&quot;$&quot;* &quot;-&quot;??_);_(@_)"/>
    <numFmt numFmtId="166" formatCode="0.0"/>
    <numFmt numFmtId="167" formatCode="dd/mm/yy;@"/>
  </numFmts>
  <fonts count="22">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u/>
      <sz val="12"/>
      <color theme="10"/>
      <name val="Calibri"/>
      <family val="2"/>
      <scheme val="minor"/>
    </font>
    <font>
      <u/>
      <sz val="12"/>
      <color theme="11"/>
      <name val="Calibri"/>
      <family val="2"/>
      <scheme val="minor"/>
    </font>
    <font>
      <sz val="10"/>
      <color theme="1"/>
      <name val="Century Gothic"/>
      <family val="1"/>
    </font>
    <font>
      <sz val="11"/>
      <color theme="1"/>
      <name val="Calibri"/>
      <family val="2"/>
      <scheme val="minor"/>
    </font>
    <font>
      <sz val="12"/>
      <color theme="1"/>
      <name val="Arial"/>
      <family val="2"/>
    </font>
    <font>
      <sz val="20"/>
      <color theme="0" tint="-0.499984740745262"/>
      <name val="Century Gothic"/>
      <family val="1"/>
    </font>
    <font>
      <sz val="12"/>
      <color theme="1"/>
      <name val="Century Gothic"/>
      <family val="1"/>
    </font>
    <font>
      <b/>
      <sz val="22"/>
      <color theme="1" tint="0.34998626667073579"/>
      <name val="Century Gothic"/>
      <family val="1"/>
    </font>
    <font>
      <sz val="12"/>
      <color theme="1" tint="0.34998626667073579"/>
      <name val="Century Gothic"/>
      <family val="2"/>
    </font>
    <font>
      <sz val="22"/>
      <color theme="1" tint="0.34998626667073579"/>
      <name val="Century Gothic"/>
      <family val="2"/>
    </font>
    <font>
      <sz val="20"/>
      <color theme="1" tint="0.499984740745262"/>
      <name val="Century Gothic"/>
      <family val="2"/>
    </font>
    <font>
      <sz val="8"/>
      <name val="Calibri"/>
      <family val="2"/>
      <scheme val="minor"/>
    </font>
    <font>
      <sz val="10"/>
      <color theme="1"/>
      <name val="Eras Medium ITC"/>
      <family val="2"/>
    </font>
    <font>
      <b/>
      <sz val="12"/>
      <color theme="1"/>
      <name val="Century Gothic"/>
      <family val="2"/>
    </font>
    <font>
      <b/>
      <sz val="14"/>
      <color theme="1"/>
      <name val="Calibri"/>
      <family val="2"/>
      <scheme val="minor"/>
    </font>
    <font>
      <sz val="12"/>
      <color rgb="FF000000"/>
      <name val="Aptos"/>
      <family val="2"/>
    </font>
    <font>
      <b/>
      <sz val="12"/>
      <color rgb="FF000000"/>
      <name val="Aptos"/>
      <family val="2"/>
    </font>
    <font>
      <sz val="10"/>
      <color rgb="FF242424"/>
      <name val="Segoe UI Variable Text"/>
    </font>
  </fonts>
  <fills count="16">
    <fill>
      <patternFill patternType="none"/>
    </fill>
    <fill>
      <patternFill patternType="gray125"/>
    </fill>
    <fill>
      <patternFill patternType="solid">
        <fgColor theme="0"/>
        <bgColor indexed="64"/>
      </patternFill>
    </fill>
    <fill>
      <patternFill patternType="solid">
        <fgColor theme="0" tint="-4.9989318521683403E-2"/>
        <bgColor rgb="FF333F4F"/>
      </patternFill>
    </fill>
    <fill>
      <patternFill patternType="solid">
        <fgColor rgb="FFFFFFCC"/>
        <bgColor indexed="64"/>
      </patternFill>
    </fill>
    <fill>
      <patternFill patternType="solid">
        <fgColor theme="0" tint="-0.14999847407452621"/>
        <bgColor rgb="FF333F4F"/>
      </patternFill>
    </fill>
    <fill>
      <patternFill patternType="solid">
        <fgColor theme="0"/>
        <bgColor rgb="FF333F4F"/>
      </patternFill>
    </fill>
    <fill>
      <patternFill patternType="solid">
        <fgColor theme="0" tint="-4.9989318521683403E-2"/>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0" tint="-0.34998626667073579"/>
        <bgColor rgb="FF333F4F"/>
      </patternFill>
    </fill>
    <fill>
      <patternFill patternType="solid">
        <fgColor theme="0" tint="-0.34998626667073579"/>
        <bgColor indexed="64"/>
      </patternFill>
    </fill>
    <fill>
      <patternFill patternType="solid">
        <fgColor theme="3" tint="0.89999084444715716"/>
        <bgColor indexed="64"/>
      </patternFill>
    </fill>
    <fill>
      <patternFill patternType="solid">
        <fgColor rgb="FFFFFF66"/>
        <bgColor indexed="64"/>
      </patternFill>
    </fill>
    <fill>
      <patternFill patternType="solid">
        <fgColor rgb="FFEBE600"/>
        <bgColor indexed="64"/>
      </patternFill>
    </fill>
  </fills>
  <borders count="23">
    <border>
      <left/>
      <right/>
      <top/>
      <bottom/>
      <diagonal/>
    </border>
    <border>
      <left/>
      <right style="thin">
        <color auto="1"/>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bottom/>
      <diagonal/>
    </border>
    <border>
      <left/>
      <right/>
      <top style="thin">
        <color theme="0" tint="-0.249977111117893"/>
      </top>
      <bottom/>
      <diagonal/>
    </border>
    <border>
      <left style="thin">
        <color theme="0" tint="-0.249977111117893"/>
      </left>
      <right style="thin">
        <color theme="0" tint="-0.249977111117893"/>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249977111117893"/>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theme="0" tint="-0.249977111117893"/>
      </right>
      <top/>
      <bottom/>
      <diagonal/>
    </border>
    <border>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tint="-0.249977111117893"/>
      </left>
      <right/>
      <top style="thin">
        <color theme="0" tint="-0.249977111117893"/>
      </top>
      <bottom/>
      <diagonal/>
    </border>
  </borders>
  <cellStyleXfs count="7">
    <xf numFmtId="0" fontId="0" fillId="0" borderId="0"/>
    <xf numFmtId="165" fontId="3"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0" borderId="0"/>
    <xf numFmtId="0" fontId="2" fillId="0" borderId="0"/>
  </cellStyleXfs>
  <cellXfs count="115">
    <xf numFmtId="0" fontId="0" fillId="0" borderId="0" xfId="0"/>
    <xf numFmtId="0" fontId="6" fillId="2" borderId="0" xfId="0" applyFont="1" applyFill="1" applyAlignment="1">
      <alignment wrapText="1"/>
    </xf>
    <xf numFmtId="0" fontId="6" fillId="0" borderId="0" xfId="0" applyFont="1" applyAlignment="1">
      <alignment wrapText="1"/>
    </xf>
    <xf numFmtId="0" fontId="6" fillId="2" borderId="0" xfId="0" applyFont="1" applyFill="1" applyAlignment="1">
      <alignment horizontal="right" wrapText="1"/>
    </xf>
    <xf numFmtId="0" fontId="6" fillId="2" borderId="1" xfId="0" applyFont="1" applyFill="1" applyBorder="1" applyAlignment="1">
      <alignment wrapText="1"/>
    </xf>
    <xf numFmtId="0" fontId="6" fillId="0" borderId="1" xfId="0" applyFont="1" applyBorder="1" applyAlignment="1">
      <alignment wrapText="1"/>
    </xf>
    <xf numFmtId="0" fontId="8" fillId="0" borderId="3" xfId="5" applyFont="1" applyBorder="1" applyAlignment="1">
      <alignment horizontal="left" vertical="center" wrapText="1" indent="2"/>
    </xf>
    <xf numFmtId="0" fontId="7" fillId="0" borderId="0" xfId="5"/>
    <xf numFmtId="0" fontId="6" fillId="2" borderId="0" xfId="0" applyFont="1" applyFill="1" applyAlignment="1">
      <alignment horizontal="left" vertical="center" wrapText="1" indent="1"/>
    </xf>
    <xf numFmtId="0" fontId="6" fillId="0" borderId="0" xfId="0" applyFont="1" applyAlignment="1">
      <alignment horizontal="left" vertical="center" wrapText="1" indent="1"/>
    </xf>
    <xf numFmtId="166" fontId="6" fillId="0" borderId="2" xfId="0" applyNumberFormat="1" applyFont="1" applyBorder="1" applyAlignment="1" applyProtection="1">
      <alignment horizontal="left" vertical="center" wrapText="1" indent="1"/>
      <protection locked="0"/>
    </xf>
    <xf numFmtId="164" fontId="6" fillId="0" borderId="2" xfId="1" applyNumberFormat="1" applyFont="1" applyFill="1" applyBorder="1" applyAlignment="1" applyProtection="1">
      <alignment horizontal="left" vertical="center" wrapText="1" indent="1"/>
      <protection locked="0"/>
    </xf>
    <xf numFmtId="0" fontId="9" fillId="0" borderId="0" xfId="0" applyFont="1"/>
    <xf numFmtId="0" fontId="10" fillId="0" borderId="2" xfId="0" applyFont="1" applyBorder="1" applyAlignment="1">
      <alignment horizontal="center" vertical="center" wrapText="1"/>
    </xf>
    <xf numFmtId="0" fontId="11" fillId="2" borderId="0" xfId="0" applyFont="1" applyFill="1" applyAlignment="1">
      <alignment vertical="center"/>
    </xf>
    <xf numFmtId="0" fontId="12" fillId="3" borderId="2" xfId="0" applyFont="1" applyFill="1" applyBorder="1" applyAlignment="1">
      <alignment horizontal="center" vertical="center"/>
    </xf>
    <xf numFmtId="0" fontId="10" fillId="4" borderId="2" xfId="0" applyFont="1" applyFill="1" applyBorder="1" applyAlignment="1">
      <alignment horizontal="center" vertical="center" wrapText="1"/>
    </xf>
    <xf numFmtId="0" fontId="12" fillId="5" borderId="2" xfId="0" applyFont="1" applyFill="1" applyBorder="1" applyAlignment="1">
      <alignment horizontal="left" vertical="center" indent="1"/>
    </xf>
    <xf numFmtId="0" fontId="10" fillId="0" borderId="0" xfId="0" applyFont="1" applyAlignment="1">
      <alignment horizontal="center" vertical="center" wrapText="1"/>
    </xf>
    <xf numFmtId="0" fontId="12" fillId="0" borderId="6" xfId="0" applyFont="1" applyBorder="1" applyAlignment="1">
      <alignment horizontal="center" vertical="center"/>
    </xf>
    <xf numFmtId="0" fontId="12" fillId="0" borderId="0" xfId="0" applyFont="1" applyAlignment="1">
      <alignment horizontal="center"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3" fillId="2" borderId="0" xfId="0" applyFont="1" applyFill="1" applyAlignment="1">
      <alignment vertical="center"/>
    </xf>
    <xf numFmtId="0" fontId="14" fillId="2" borderId="0" xfId="0" applyFont="1" applyFill="1" applyAlignment="1">
      <alignment vertical="center"/>
    </xf>
    <xf numFmtId="0" fontId="14" fillId="0" borderId="0" xfId="0" applyFont="1" applyAlignment="1">
      <alignment vertical="center"/>
    </xf>
    <xf numFmtId="0" fontId="16" fillId="0" borderId="9" xfId="0" applyFont="1" applyBorder="1" applyAlignment="1">
      <alignment wrapText="1"/>
    </xf>
    <xf numFmtId="0" fontId="16" fillId="2" borderId="9" xfId="0" applyFont="1" applyFill="1" applyBorder="1" applyAlignment="1">
      <alignment wrapText="1"/>
    </xf>
    <xf numFmtId="0" fontId="6" fillId="0" borderId="4" xfId="0" applyFont="1" applyBorder="1" applyAlignment="1" applyProtection="1">
      <alignment horizontal="center" vertical="center" wrapText="1"/>
      <protection locked="0"/>
    </xf>
    <xf numFmtId="0" fontId="16" fillId="0" borderId="10" xfId="0" applyFont="1" applyBorder="1" applyAlignment="1">
      <alignment wrapText="1"/>
    </xf>
    <xf numFmtId="0" fontId="10" fillId="0" borderId="11" xfId="0" applyFont="1" applyBorder="1" applyAlignment="1">
      <alignment horizontal="center" vertical="center" wrapText="1"/>
    </xf>
    <xf numFmtId="0" fontId="6" fillId="2" borderId="9" xfId="0" applyFont="1" applyFill="1" applyBorder="1" applyAlignment="1">
      <alignment wrapText="1"/>
    </xf>
    <xf numFmtId="0" fontId="16" fillId="0" borderId="9" xfId="0" applyFont="1" applyFill="1" applyBorder="1" applyAlignment="1">
      <alignment vertical="center" wrapText="1"/>
    </xf>
    <xf numFmtId="0" fontId="16" fillId="0" borderId="9" xfId="0" applyFont="1" applyFill="1" applyBorder="1" applyAlignment="1">
      <alignment wrapText="1"/>
    </xf>
    <xf numFmtId="0" fontId="10" fillId="8" borderId="2" xfId="0" applyFont="1" applyFill="1" applyBorder="1" applyAlignment="1">
      <alignment horizontal="center" vertical="center" wrapText="1"/>
    </xf>
    <xf numFmtId="166" fontId="6" fillId="0" borderId="8" xfId="0" applyNumberFormat="1" applyFont="1" applyBorder="1" applyAlignment="1" applyProtection="1">
      <alignment horizontal="left" vertical="center" wrapText="1" indent="1"/>
      <protection locked="0"/>
    </xf>
    <xf numFmtId="0" fontId="10" fillId="0" borderId="13" xfId="0" applyFont="1" applyBorder="1" applyAlignment="1">
      <alignment horizontal="center" vertical="center" wrapText="1"/>
    </xf>
    <xf numFmtId="166" fontId="6" fillId="0" borderId="13" xfId="0" applyNumberFormat="1" applyFont="1" applyBorder="1" applyAlignment="1" applyProtection="1">
      <alignment horizontal="left" vertical="center" wrapText="1" indent="1"/>
      <protection locked="0"/>
    </xf>
    <xf numFmtId="37" fontId="6" fillId="7" borderId="13" xfId="1" applyNumberFormat="1" applyFont="1" applyFill="1" applyBorder="1" applyAlignment="1" applyProtection="1">
      <alignment horizontal="center" vertical="center" wrapText="1"/>
      <protection locked="0"/>
    </xf>
    <xf numFmtId="164" fontId="6" fillId="0" borderId="13" xfId="1" applyNumberFormat="1" applyFont="1" applyFill="1" applyBorder="1" applyAlignment="1" applyProtection="1">
      <alignment horizontal="left" vertical="center" wrapText="1" indent="1"/>
      <protection locked="0"/>
    </xf>
    <xf numFmtId="0" fontId="10" fillId="0" borderId="9" xfId="0" applyFont="1" applyBorder="1" applyAlignment="1">
      <alignment horizontal="center" vertical="center" wrapText="1"/>
    </xf>
    <xf numFmtId="37" fontId="6" fillId="7" borderId="9" xfId="1" applyNumberFormat="1" applyFont="1" applyFill="1" applyBorder="1" applyAlignment="1" applyProtection="1">
      <alignment horizontal="center" vertical="center" wrapText="1"/>
      <protection locked="0"/>
    </xf>
    <xf numFmtId="164" fontId="6" fillId="0" borderId="9" xfId="1" applyNumberFormat="1" applyFont="1" applyFill="1" applyBorder="1" applyAlignment="1" applyProtection="1">
      <alignment horizontal="left" vertical="center" wrapText="1" indent="1"/>
      <protection locked="0"/>
    </xf>
    <xf numFmtId="0" fontId="10" fillId="0" borderId="5" xfId="0" applyFont="1" applyBorder="1" applyAlignment="1">
      <alignment horizontal="center" vertical="center" wrapText="1"/>
    </xf>
    <xf numFmtId="0" fontId="10" fillId="0" borderId="7"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12" xfId="0" applyFont="1" applyBorder="1" applyAlignment="1">
      <alignment horizontal="center" vertical="center" wrapText="1"/>
    </xf>
    <xf numFmtId="0" fontId="12" fillId="5" borderId="4" xfId="0" applyFont="1" applyFill="1" applyBorder="1" applyAlignment="1">
      <alignment horizontal="left" vertical="center" indent="1"/>
    </xf>
    <xf numFmtId="0" fontId="12" fillId="5" borderId="5" xfId="0" applyFont="1" applyFill="1" applyBorder="1" applyAlignment="1">
      <alignment horizontal="left" vertical="center" indent="1"/>
    </xf>
    <xf numFmtId="37" fontId="6" fillId="7" borderId="5" xfId="1" applyNumberFormat="1" applyFont="1" applyFill="1" applyBorder="1" applyAlignment="1" applyProtection="1">
      <alignment horizontal="center" vertical="center" wrapText="1"/>
      <protection locked="0"/>
    </xf>
    <xf numFmtId="0" fontId="10" fillId="0" borderId="8" xfId="0" applyFont="1" applyBorder="1" applyAlignment="1">
      <alignment horizontal="center" vertical="center" wrapText="1"/>
    </xf>
    <xf numFmtId="0" fontId="16" fillId="0" borderId="10" xfId="0" applyFont="1" applyFill="1" applyBorder="1" applyAlignment="1">
      <alignment wrapText="1"/>
    </xf>
    <xf numFmtId="0" fontId="16" fillId="0" borderId="15" xfId="0" applyFont="1" applyBorder="1" applyAlignment="1">
      <alignment wrapText="1"/>
    </xf>
    <xf numFmtId="0" fontId="16" fillId="0" borderId="16" xfId="0" applyFont="1" applyBorder="1" applyAlignment="1">
      <alignment wrapText="1"/>
    </xf>
    <xf numFmtId="0" fontId="10" fillId="0" borderId="17" xfId="0" applyFont="1" applyBorder="1" applyAlignment="1">
      <alignment horizontal="center" vertical="center" wrapText="1"/>
    </xf>
    <xf numFmtId="0" fontId="16" fillId="0" borderId="15" xfId="0" applyFont="1" applyFill="1" applyBorder="1" applyAlignment="1">
      <alignment vertical="center" wrapText="1"/>
    </xf>
    <xf numFmtId="0" fontId="10" fillId="8" borderId="18" xfId="0" applyFont="1" applyFill="1" applyBorder="1" applyAlignment="1">
      <alignment horizontal="center" vertical="center" wrapText="1"/>
    </xf>
    <xf numFmtId="0" fontId="12" fillId="5" borderId="9" xfId="0" applyFont="1" applyFill="1" applyBorder="1" applyAlignment="1">
      <alignment horizontal="left" vertical="center" indent="1"/>
    </xf>
    <xf numFmtId="0" fontId="12" fillId="5" borderId="9" xfId="0" applyFont="1" applyFill="1" applyBorder="1" applyAlignment="1">
      <alignment horizontal="center" vertical="center"/>
    </xf>
    <xf numFmtId="166" fontId="6" fillId="0" borderId="9" xfId="0" applyNumberFormat="1" applyFont="1" applyBorder="1" applyAlignment="1" applyProtection="1">
      <alignment horizontal="left" vertical="center" wrapText="1" indent="1"/>
      <protection locked="0"/>
    </xf>
    <xf numFmtId="0" fontId="10" fillId="8" borderId="9" xfId="0" applyFont="1" applyFill="1" applyBorder="1" applyAlignment="1">
      <alignment horizontal="center" vertical="center" wrapText="1"/>
    </xf>
    <xf numFmtId="166" fontId="6" fillId="9" borderId="9" xfId="0" applyNumberFormat="1" applyFont="1" applyFill="1" applyBorder="1" applyAlignment="1" applyProtection="1">
      <alignment horizontal="left" vertical="center" wrapText="1" indent="1"/>
      <protection locked="0"/>
    </xf>
    <xf numFmtId="0" fontId="10" fillId="10" borderId="9" xfId="0" applyFont="1" applyFill="1" applyBorder="1" applyAlignment="1">
      <alignment horizontal="center" vertical="center" wrapText="1"/>
    </xf>
    <xf numFmtId="0" fontId="10" fillId="10" borderId="2" xfId="0" applyFont="1" applyFill="1" applyBorder="1" applyAlignment="1">
      <alignment horizontal="center" vertical="center" wrapText="1"/>
    </xf>
    <xf numFmtId="164" fontId="6" fillId="0" borderId="5" xfId="1" applyNumberFormat="1" applyFont="1" applyFill="1" applyBorder="1" applyAlignment="1" applyProtection="1">
      <alignment horizontal="left" vertical="center" wrapText="1" indent="1"/>
      <protection locked="0"/>
    </xf>
    <xf numFmtId="164" fontId="6" fillId="0" borderId="14" xfId="1" applyNumberFormat="1" applyFont="1" applyFill="1" applyBorder="1" applyAlignment="1" applyProtection="1">
      <alignment horizontal="left" vertical="center" wrapText="1" indent="1"/>
      <protection locked="0"/>
    </xf>
    <xf numFmtId="0" fontId="10" fillId="10" borderId="10" xfId="0" applyFont="1" applyFill="1" applyBorder="1" applyAlignment="1">
      <alignment horizontal="center" vertical="center" wrapText="1"/>
    </xf>
    <xf numFmtId="0" fontId="10" fillId="0" borderId="10" xfId="0" applyFont="1" applyBorder="1" applyAlignment="1">
      <alignment horizontal="center" vertical="center" wrapText="1"/>
    </xf>
    <xf numFmtId="166" fontId="6" fillId="0" borderId="10" xfId="0" applyNumberFormat="1" applyFont="1" applyBorder="1" applyAlignment="1" applyProtection="1">
      <alignment horizontal="left" vertical="center" wrapText="1" indent="1"/>
      <protection locked="0"/>
    </xf>
    <xf numFmtId="37" fontId="6" fillId="7" borderId="14" xfId="1" applyNumberFormat="1" applyFont="1" applyFill="1" applyBorder="1" applyAlignment="1" applyProtection="1">
      <alignment horizontal="center" vertical="center" wrapText="1"/>
      <protection locked="0"/>
    </xf>
    <xf numFmtId="0" fontId="10" fillId="10" borderId="15" xfId="0" applyFont="1" applyFill="1" applyBorder="1" applyAlignment="1">
      <alignment horizontal="center" vertical="center" wrapText="1"/>
    </xf>
    <xf numFmtId="0" fontId="10" fillId="0" borderId="15" xfId="0" applyFont="1" applyBorder="1" applyAlignment="1">
      <alignment horizontal="center" vertical="center" wrapText="1"/>
    </xf>
    <xf numFmtId="166" fontId="6" fillId="0" borderId="15" xfId="0" applyNumberFormat="1" applyFont="1" applyBorder="1" applyAlignment="1" applyProtection="1">
      <alignment horizontal="left" vertical="center" wrapText="1" indent="1"/>
      <protection locked="0"/>
    </xf>
    <xf numFmtId="37" fontId="6" fillId="7" borderId="18" xfId="1" applyNumberFormat="1" applyFont="1" applyFill="1" applyBorder="1" applyAlignment="1" applyProtection="1">
      <alignment horizontal="center" vertical="center" wrapText="1"/>
      <protection locked="0"/>
    </xf>
    <xf numFmtId="0" fontId="10" fillId="10" borderId="16" xfId="0" applyFont="1" applyFill="1" applyBorder="1" applyAlignment="1">
      <alignment horizontal="center" vertical="center" wrapText="1"/>
    </xf>
    <xf numFmtId="0" fontId="10" fillId="0" borderId="16" xfId="0" applyFont="1" applyBorder="1" applyAlignment="1">
      <alignment horizontal="center" vertical="center" wrapText="1"/>
    </xf>
    <xf numFmtId="166" fontId="6" fillId="0" borderId="16" xfId="0" applyNumberFormat="1" applyFont="1" applyBorder="1" applyAlignment="1" applyProtection="1">
      <alignment horizontal="left" vertical="center" wrapText="1" indent="1"/>
      <protection locked="0"/>
    </xf>
    <xf numFmtId="37" fontId="6" fillId="7" borderId="17" xfId="1" applyNumberFormat="1" applyFont="1" applyFill="1" applyBorder="1" applyAlignment="1" applyProtection="1">
      <alignment horizontal="center" vertical="center" wrapText="1"/>
      <protection locked="0"/>
    </xf>
    <xf numFmtId="0" fontId="6" fillId="2" borderId="15" xfId="0" applyFont="1" applyFill="1" applyBorder="1" applyAlignment="1">
      <alignment wrapText="1"/>
    </xf>
    <xf numFmtId="37" fontId="6" fillId="7" borderId="20" xfId="1" applyNumberFormat="1" applyFont="1" applyFill="1" applyBorder="1" applyAlignment="1" applyProtection="1">
      <alignment horizontal="center" vertical="center" wrapText="1"/>
      <protection locked="0"/>
    </xf>
    <xf numFmtId="0" fontId="16" fillId="0" borderId="16" xfId="0" applyFont="1" applyFill="1" applyBorder="1" applyAlignment="1">
      <alignment wrapText="1"/>
    </xf>
    <xf numFmtId="166" fontId="6" fillId="9" borderId="16" xfId="0" applyNumberFormat="1" applyFont="1" applyFill="1" applyBorder="1" applyAlignment="1" applyProtection="1">
      <alignment horizontal="left" vertical="center" wrapText="1" indent="1"/>
      <protection locked="0"/>
    </xf>
    <xf numFmtId="0" fontId="12" fillId="3" borderId="11" xfId="0" applyFont="1" applyFill="1" applyBorder="1" applyAlignment="1">
      <alignment horizontal="center" vertical="center"/>
    </xf>
    <xf numFmtId="0" fontId="10" fillId="0" borderId="9" xfId="0" applyFont="1" applyFill="1" applyBorder="1" applyAlignment="1">
      <alignment horizontal="center" vertical="center" wrapText="1"/>
    </xf>
    <xf numFmtId="0" fontId="17" fillId="12" borderId="9" xfId="0" applyFont="1" applyFill="1" applyBorder="1" applyAlignment="1">
      <alignment horizontal="center" vertical="center" wrapText="1"/>
    </xf>
    <xf numFmtId="0" fontId="18" fillId="13" borderId="9" xfId="0" applyFont="1" applyFill="1" applyBorder="1" applyAlignment="1">
      <alignment horizontal="center"/>
    </xf>
    <xf numFmtId="0" fontId="0" fillId="0" borderId="9" xfId="0" applyBorder="1"/>
    <xf numFmtId="0" fontId="0" fillId="0" borderId="9" xfId="0" applyBorder="1" applyAlignment="1">
      <alignment wrapText="1"/>
    </xf>
    <xf numFmtId="0" fontId="0" fillId="0" borderId="9" xfId="0" applyBorder="1" applyAlignment="1">
      <alignment horizontal="left" wrapText="1"/>
    </xf>
    <xf numFmtId="0" fontId="10" fillId="0" borderId="19" xfId="0" applyFont="1" applyBorder="1" applyAlignment="1">
      <alignment horizontal="center" vertical="center" wrapText="1"/>
    </xf>
    <xf numFmtId="0" fontId="10" fillId="0" borderId="4" xfId="0" applyFont="1" applyBorder="1" applyAlignment="1">
      <alignment horizontal="center" vertical="center" wrapText="1"/>
    </xf>
    <xf numFmtId="167" fontId="6" fillId="0" borderId="9" xfId="1" applyNumberFormat="1" applyFont="1" applyFill="1" applyBorder="1" applyAlignment="1" applyProtection="1">
      <alignment horizontal="center" vertical="center" wrapText="1"/>
      <protection locked="0"/>
    </xf>
    <xf numFmtId="0" fontId="6" fillId="0" borderId="0" xfId="0" applyFont="1" applyAlignment="1">
      <alignment horizontal="center" wrapText="1"/>
    </xf>
    <xf numFmtId="0" fontId="9" fillId="0" borderId="0" xfId="0" applyFont="1" applyAlignment="1">
      <alignment horizontal="center"/>
    </xf>
    <xf numFmtId="0" fontId="6" fillId="2" borderId="0" xfId="0" applyFont="1" applyFill="1" applyAlignment="1">
      <alignment horizontal="center" wrapText="1"/>
    </xf>
    <xf numFmtId="0" fontId="6" fillId="2" borderId="9" xfId="0" applyFont="1" applyFill="1" applyBorder="1" applyAlignment="1">
      <alignment horizontal="center" wrapText="1"/>
    </xf>
    <xf numFmtId="0" fontId="10" fillId="0" borderId="0" xfId="0" applyFont="1" applyBorder="1" applyAlignment="1">
      <alignment horizontal="center" vertical="center" wrapText="1"/>
    </xf>
    <xf numFmtId="0" fontId="10" fillId="8" borderId="21" xfId="0" applyFont="1" applyFill="1" applyBorder="1" applyAlignment="1">
      <alignment horizontal="center" vertical="center" wrapText="1"/>
    </xf>
    <xf numFmtId="0" fontId="21" fillId="0" borderId="9" xfId="0" applyFont="1" applyBorder="1"/>
    <xf numFmtId="0" fontId="21" fillId="0" borderId="9" xfId="0" applyFont="1" applyBorder="1" applyAlignment="1">
      <alignment wrapText="1"/>
    </xf>
    <xf numFmtId="0" fontId="2" fillId="2" borderId="9" xfId="6" applyFill="1" applyBorder="1" applyAlignment="1">
      <alignment wrapText="1"/>
    </xf>
    <xf numFmtId="0" fontId="21" fillId="14" borderId="9" xfId="0" applyFont="1" applyFill="1" applyBorder="1" applyAlignment="1">
      <alignment wrapText="1"/>
    </xf>
    <xf numFmtId="0" fontId="21" fillId="0" borderId="9" xfId="0" applyFont="1" applyFill="1" applyBorder="1"/>
    <xf numFmtId="0" fontId="21" fillId="15" borderId="9" xfId="0" applyFont="1" applyFill="1" applyBorder="1" applyAlignment="1">
      <alignment wrapText="1"/>
    </xf>
    <xf numFmtId="166" fontId="6" fillId="0" borderId="0" xfId="0" applyNumberFormat="1" applyFont="1" applyBorder="1" applyAlignment="1" applyProtection="1">
      <alignment horizontal="left" vertical="center" wrapText="1" indent="1"/>
      <protection locked="0"/>
    </xf>
    <xf numFmtId="0" fontId="1" fillId="2" borderId="9" xfId="6" applyFont="1" applyFill="1" applyBorder="1" applyAlignment="1">
      <alignment wrapText="1"/>
    </xf>
    <xf numFmtId="0" fontId="1" fillId="2" borderId="10" xfId="6" applyFont="1" applyFill="1" applyBorder="1" applyAlignment="1">
      <alignment wrapText="1"/>
    </xf>
    <xf numFmtId="0" fontId="6" fillId="0" borderId="22" xfId="0" applyFont="1" applyBorder="1" applyAlignment="1" applyProtection="1">
      <alignment horizontal="center" vertical="center" wrapText="1"/>
      <protection locked="0"/>
    </xf>
    <xf numFmtId="0" fontId="12" fillId="6" borderId="4" xfId="0" applyFont="1" applyFill="1" applyBorder="1" applyAlignment="1">
      <alignment horizontal="left" vertical="center" wrapText="1" indent="1"/>
    </xf>
    <xf numFmtId="0" fontId="12" fillId="6" borderId="5" xfId="0" applyFont="1" applyFill="1" applyBorder="1" applyAlignment="1">
      <alignment horizontal="left" vertical="center" wrapText="1" indent="1"/>
    </xf>
    <xf numFmtId="0" fontId="12" fillId="3" borderId="4" xfId="0" applyFont="1" applyFill="1" applyBorder="1" applyAlignment="1">
      <alignment horizontal="left" vertical="center" indent="1"/>
    </xf>
    <xf numFmtId="0" fontId="12" fillId="3" borderId="5" xfId="0" applyFont="1" applyFill="1" applyBorder="1" applyAlignment="1">
      <alignment horizontal="left" vertical="center" indent="1"/>
    </xf>
    <xf numFmtId="0" fontId="12" fillId="11" borderId="4" xfId="0" applyFont="1" applyFill="1" applyBorder="1" applyAlignment="1">
      <alignment horizontal="left" vertical="center" indent="1"/>
    </xf>
    <xf numFmtId="0" fontId="12" fillId="11" borderId="5" xfId="0" applyFont="1" applyFill="1" applyBorder="1" applyAlignment="1">
      <alignment horizontal="left" vertical="center" indent="1"/>
    </xf>
    <xf numFmtId="0" fontId="18" fillId="12" borderId="0" xfId="0" applyFont="1" applyFill="1" applyAlignment="1">
      <alignment horizontal="center" vertical="center"/>
    </xf>
  </cellXfs>
  <cellStyles count="7">
    <cellStyle name="Lien hypertexte" xfId="2" builtinId="8" hidden="1"/>
    <cellStyle name="Lien hypertexte visité" xfId="3" builtinId="9" hidden="1"/>
    <cellStyle name="Lien hypertexte visité" xfId="4" builtinId="9" hidden="1"/>
    <cellStyle name="Monétaire" xfId="1" builtinId="4"/>
    <cellStyle name="Normal" xfId="0" builtinId="0"/>
    <cellStyle name="Normal 2" xfId="5"/>
    <cellStyle name="Normal 3" xfId="6"/>
  </cellStyles>
  <dxfs count="59">
    <dxf>
      <fill>
        <patternFill>
          <bgColor rgb="FFFFFFCC"/>
        </patternFill>
      </fill>
    </dxf>
    <dxf>
      <fill>
        <patternFill>
          <bgColor rgb="FFFFFF99"/>
        </patternFill>
      </fill>
    </dxf>
    <dxf>
      <fill>
        <patternFill>
          <bgColor rgb="FFFFFF66"/>
        </patternFill>
      </fill>
    </dxf>
    <dxf>
      <fill>
        <patternFill>
          <bgColor rgb="FFEBE600"/>
        </patternFill>
      </fill>
    </dxf>
    <dxf>
      <fill>
        <patternFill>
          <bgColor rgb="FFD7D200"/>
        </patternFill>
      </fill>
    </dxf>
    <dxf>
      <fill>
        <patternFill>
          <bgColor rgb="FFC5C000"/>
        </patternFill>
      </fill>
    </dxf>
    <dxf>
      <fill>
        <patternFill>
          <bgColor theme="5" tint="0.59996337778862885"/>
        </patternFill>
      </fill>
    </dxf>
    <dxf>
      <fill>
        <patternFill>
          <bgColor rgb="FF92D050"/>
        </patternFill>
      </fill>
    </dxf>
    <dxf>
      <fill>
        <patternFill>
          <bgColor rgb="FF00B0F0"/>
        </patternFill>
      </fill>
    </dxf>
    <dxf>
      <fill>
        <patternFill>
          <bgColor rgb="FFFF6699"/>
        </patternFill>
      </fill>
    </dxf>
    <dxf>
      <fill>
        <patternFill>
          <bgColor rgb="FFC00000"/>
        </patternFill>
      </fill>
    </dxf>
    <dxf>
      <fill>
        <patternFill>
          <bgColor theme="5" tint="0.79998168889431442"/>
        </patternFill>
      </fill>
    </dxf>
    <dxf>
      <fill>
        <patternFill>
          <bgColor theme="8" tint="0.59996337778862885"/>
        </patternFill>
      </fill>
    </dxf>
    <dxf>
      <fill>
        <patternFill>
          <bgColor theme="4" tint="0.59996337778862885"/>
        </patternFill>
      </fill>
    </dxf>
    <dxf>
      <fill>
        <patternFill>
          <bgColor rgb="FF00B050"/>
        </patternFill>
      </fill>
    </dxf>
    <dxf>
      <fill>
        <patternFill>
          <bgColor rgb="FFFFFF00"/>
        </patternFill>
      </fill>
    </dxf>
    <dxf>
      <fill>
        <patternFill>
          <bgColor rgb="FFFFFFCC"/>
        </patternFill>
      </fill>
    </dxf>
    <dxf>
      <fill>
        <patternFill>
          <bgColor rgb="FFFFFF99"/>
        </patternFill>
      </fill>
    </dxf>
    <dxf>
      <fill>
        <patternFill>
          <bgColor rgb="FFFFFF66"/>
        </patternFill>
      </fill>
    </dxf>
    <dxf>
      <fill>
        <patternFill>
          <bgColor rgb="FFEBE600"/>
        </patternFill>
      </fill>
    </dxf>
    <dxf>
      <fill>
        <patternFill>
          <bgColor rgb="FFD7D200"/>
        </patternFill>
      </fill>
    </dxf>
    <dxf>
      <fill>
        <patternFill>
          <bgColor rgb="FFC5C000"/>
        </patternFill>
      </fill>
    </dxf>
    <dxf>
      <fill>
        <patternFill>
          <bgColor rgb="FFC00000"/>
        </patternFill>
      </fill>
    </dxf>
    <dxf>
      <fill>
        <patternFill>
          <bgColor theme="5" tint="0.79998168889431442"/>
        </patternFill>
      </fill>
    </dxf>
    <dxf>
      <fill>
        <patternFill>
          <bgColor theme="8" tint="0.59996337778862885"/>
        </patternFill>
      </fill>
    </dxf>
    <dxf>
      <fill>
        <patternFill>
          <bgColor theme="4" tint="0.59996337778862885"/>
        </patternFill>
      </fill>
    </dxf>
    <dxf>
      <fill>
        <patternFill>
          <bgColor rgb="FF00B050"/>
        </patternFill>
      </fill>
    </dxf>
    <dxf>
      <fill>
        <patternFill>
          <bgColor rgb="FFFFFF00"/>
        </patternFill>
      </fill>
    </dxf>
    <dxf>
      <fill>
        <patternFill>
          <bgColor rgb="FFFFFFCC"/>
        </patternFill>
      </fill>
    </dxf>
    <dxf>
      <fill>
        <patternFill>
          <bgColor rgb="FFFFFF99"/>
        </patternFill>
      </fill>
    </dxf>
    <dxf>
      <fill>
        <patternFill>
          <bgColor rgb="FFFFFF66"/>
        </patternFill>
      </fill>
    </dxf>
    <dxf>
      <fill>
        <patternFill>
          <bgColor rgb="FFEBE600"/>
        </patternFill>
      </fill>
    </dxf>
    <dxf>
      <fill>
        <patternFill>
          <bgColor rgb="FFD7D200"/>
        </patternFill>
      </fill>
    </dxf>
    <dxf>
      <fill>
        <patternFill>
          <bgColor rgb="FFC5C000"/>
        </patternFill>
      </fill>
    </dxf>
    <dxf>
      <fill>
        <patternFill>
          <bgColor theme="5" tint="0.59996337778862885"/>
        </patternFill>
      </fill>
    </dxf>
    <dxf>
      <fill>
        <patternFill>
          <bgColor rgb="FF92D050"/>
        </patternFill>
      </fill>
    </dxf>
    <dxf>
      <fill>
        <patternFill>
          <bgColor rgb="FF00B0F0"/>
        </patternFill>
      </fill>
    </dxf>
    <dxf>
      <fill>
        <patternFill>
          <bgColor rgb="FFFF6699"/>
        </patternFill>
      </fill>
    </dxf>
    <dxf>
      <fill>
        <patternFill>
          <bgColor theme="7" tint="0.79998168889431442"/>
        </patternFill>
      </fill>
    </dxf>
    <dxf>
      <fill>
        <patternFill>
          <bgColor theme="5" tint="0.79998168889431442"/>
        </patternFill>
      </fill>
    </dxf>
    <dxf>
      <fill>
        <patternFill>
          <bgColor theme="6" tint="0.79998168889431442"/>
        </patternFill>
      </fill>
    </dxf>
    <dxf>
      <fill>
        <patternFill>
          <bgColor theme="4" tint="0.59996337778862885"/>
        </patternFill>
      </fill>
    </dxf>
    <dxf>
      <fill>
        <patternFill>
          <bgColor theme="8" tint="0.79998168889431442"/>
        </patternFill>
      </fill>
    </dxf>
    <dxf>
      <fill>
        <patternFill>
          <bgColor rgb="FFFFFFCC"/>
        </patternFill>
      </fill>
    </dxf>
    <dxf>
      <fill>
        <patternFill>
          <bgColor rgb="FFFFFF99"/>
        </patternFill>
      </fill>
    </dxf>
    <dxf>
      <fill>
        <patternFill>
          <bgColor rgb="FFFFFF66"/>
        </patternFill>
      </fill>
    </dxf>
    <dxf>
      <fill>
        <patternFill>
          <bgColor rgb="FFEBE600"/>
        </patternFill>
      </fill>
    </dxf>
    <dxf>
      <fill>
        <patternFill>
          <bgColor rgb="FFD7D200"/>
        </patternFill>
      </fill>
    </dxf>
    <dxf>
      <fill>
        <patternFill>
          <bgColor rgb="FFC5C000"/>
        </patternFill>
      </fill>
    </dxf>
    <dxf>
      <fill>
        <patternFill>
          <bgColor theme="5" tint="0.59996337778862885"/>
        </patternFill>
      </fill>
    </dxf>
    <dxf>
      <fill>
        <patternFill>
          <bgColor rgb="FF92D050"/>
        </patternFill>
      </fill>
    </dxf>
    <dxf>
      <fill>
        <patternFill>
          <bgColor rgb="FF00B0F0"/>
        </patternFill>
      </fill>
    </dxf>
    <dxf>
      <fill>
        <patternFill>
          <bgColor rgb="FFFF6699"/>
        </patternFill>
      </fill>
    </dxf>
    <dxf>
      <fill>
        <patternFill>
          <bgColor rgb="FFC00000"/>
        </patternFill>
      </fill>
    </dxf>
    <dxf>
      <fill>
        <patternFill>
          <bgColor theme="5" tint="0.79998168889431442"/>
        </patternFill>
      </fill>
    </dxf>
    <dxf>
      <fill>
        <patternFill>
          <bgColor theme="8" tint="0.59996337778862885"/>
        </patternFill>
      </fill>
    </dxf>
    <dxf>
      <fill>
        <patternFill>
          <bgColor theme="4" tint="0.59996337778862885"/>
        </patternFill>
      </fill>
    </dxf>
    <dxf>
      <fill>
        <patternFill>
          <bgColor rgb="FF00B050"/>
        </patternFill>
      </fill>
    </dxf>
    <dxf>
      <fill>
        <patternFill>
          <bgColor rgb="FFFFFF00"/>
        </patternFill>
      </fill>
    </dxf>
  </dxfs>
  <tableStyles count="0" defaultTableStyle="TableStyleMedium9" defaultPivotStyle="PivotStyleMedium4"/>
  <colors>
    <mruColors>
      <color rgb="FFEBE600"/>
      <color rgb="FFFFFF66"/>
      <color rgb="FFD7D200"/>
      <color rgb="FFC5C000"/>
      <color rgb="FFFFFF99"/>
      <color rgb="FFFFFFCC"/>
      <color rgb="FFFF6699"/>
      <color rgb="FFF4628C"/>
      <color rgb="FF00BD32"/>
      <color rgb="FF04CF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2200" b="0">
                <a:latin typeface="Century Gothic" panose="020B0502020202020204" pitchFamily="34" charset="0"/>
              </a:rPr>
              <a:t>Status Tallies</a:t>
            </a:r>
          </a:p>
        </c:rich>
      </c:tx>
      <c:layout>
        <c:manualLayout>
          <c:xMode val="edge"/>
          <c:yMode val="edge"/>
          <c:x val="3.121616602258628E-2"/>
          <c:y val="3.8427781754553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plotArea>
      <c:layout/>
      <c:pieChart>
        <c:varyColors val="1"/>
        <c:ser>
          <c:idx val="0"/>
          <c:order val="0"/>
          <c:explosion val="5"/>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030B-1540-9383-4F89AD0C77CD}"/>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030B-1540-9383-4F89AD0C77CD}"/>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030B-1540-9383-4F89AD0C77CD}"/>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FE18-4080-BAEB-359CDC4561E9}"/>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FE18-4080-BAEB-359CDC4561E9}"/>
              </c:ext>
            </c:extLst>
          </c:dPt>
          <c:dLbls>
            <c:dLbl>
              <c:idx val="3"/>
              <c:delete val="1"/>
              <c:extLst>
                <c:ext xmlns:c15="http://schemas.microsoft.com/office/drawing/2012/chart" uri="{CE6537A1-D6FC-4f65-9D91-7224C49458BB}"/>
                <c:ext xmlns:c16="http://schemas.microsoft.com/office/drawing/2014/chart" uri="{C3380CC4-5D6E-409C-BE32-E72D297353CC}">
                  <c16:uniqueId val="{00000007-FE18-4080-BAEB-359CDC4561E9}"/>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entury Gothic" panose="020B0502020202020204" pitchFamily="34" charset="0"/>
                    <a:ea typeface="+mn-ea"/>
                    <a:cs typeface="+mn-cs"/>
                  </a:defRPr>
                </a:pPr>
                <a:endParaRPr lang="fr-FR"/>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'PM Issue Tracking'!$E$5:$E$9</c:f>
              <c:strCache>
                <c:ptCount val="5"/>
                <c:pt idx="0">
                  <c:v>Not Started</c:v>
                </c:pt>
                <c:pt idx="1">
                  <c:v>In Progress</c:v>
                </c:pt>
                <c:pt idx="2">
                  <c:v>On Hold</c:v>
                </c:pt>
                <c:pt idx="3">
                  <c:v>Blocked</c:v>
                </c:pt>
                <c:pt idx="4">
                  <c:v>Closed</c:v>
                </c:pt>
              </c:strCache>
            </c:strRef>
          </c:cat>
          <c:val>
            <c:numRef>
              <c:f>'PM Issue Tracking'!$F$5:$F$9</c:f>
              <c:numCache>
                <c:formatCode>General</c:formatCode>
                <c:ptCount val="5"/>
                <c:pt idx="0">
                  <c:v>12</c:v>
                </c:pt>
                <c:pt idx="1">
                  <c:v>15</c:v>
                </c:pt>
                <c:pt idx="2">
                  <c:v>1</c:v>
                </c:pt>
                <c:pt idx="3">
                  <c:v>1</c:v>
                </c:pt>
                <c:pt idx="4">
                  <c:v>56</c:v>
                </c:pt>
              </c:numCache>
            </c:numRef>
          </c:val>
          <c:extLst>
            <c:ext xmlns:c16="http://schemas.microsoft.com/office/drawing/2014/chart" uri="{C3380CC4-5D6E-409C-BE32-E72D297353CC}">
              <c16:uniqueId val="{00000000-2A32-AF4E-A0C2-85B7A49DF65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11204368472684026"/>
          <c:y val="0.9026263836585644"/>
          <c:w val="0.79575827552978129"/>
          <c:h val="7.563448590665296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Century Gothic" panose="020B0502020202020204" pitchFamily="34" charset="0"/>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2200" b="0">
                <a:solidFill>
                  <a:schemeClr val="bg1">
                    <a:lumMod val="50000"/>
                  </a:schemeClr>
                </a:solidFill>
                <a:latin typeface="Century Gothic" panose="020B0502020202020204" pitchFamily="34" charset="0"/>
              </a:rPr>
              <a:t>Priority</a:t>
            </a:r>
            <a:r>
              <a:rPr lang="en-US" sz="2200">
                <a:solidFill>
                  <a:schemeClr val="bg1">
                    <a:lumMod val="50000"/>
                  </a:schemeClr>
                </a:solidFill>
                <a:latin typeface="Century Gothic" panose="020B0502020202020204" pitchFamily="34" charset="0"/>
              </a:rPr>
              <a:t> </a:t>
            </a:r>
            <a:r>
              <a:rPr lang="en-US" sz="2200" b="0">
                <a:solidFill>
                  <a:schemeClr val="bg1">
                    <a:lumMod val="50000"/>
                  </a:schemeClr>
                </a:solidFill>
                <a:latin typeface="Century Gothic" panose="020B0502020202020204" pitchFamily="34" charset="0"/>
              </a:rPr>
              <a:t>Tallies</a:t>
            </a:r>
          </a:p>
        </c:rich>
      </c:tx>
      <c:layout>
        <c:manualLayout>
          <c:xMode val="edge"/>
          <c:yMode val="edge"/>
          <c:x val="3.7869157507814437E-2"/>
          <c:y val="3.738795227283706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fr-FR"/>
        </a:p>
      </c:txPr>
    </c:title>
    <c:autoTitleDeleted val="0"/>
    <c:plotArea>
      <c:layout/>
      <c:pieChart>
        <c:varyColors val="1"/>
        <c:ser>
          <c:idx val="0"/>
          <c:order val="0"/>
          <c:spPr>
            <a:solidFill>
              <a:schemeClr val="accent4">
                <a:lumMod val="60000"/>
                <a:lumOff val="40000"/>
              </a:schemeClr>
            </a:solidFill>
            <a:ln>
              <a:solidFill>
                <a:schemeClr val="accent1"/>
              </a:solidFill>
            </a:ln>
          </c:spPr>
          <c:explosion val="5"/>
          <c:dPt>
            <c:idx val="0"/>
            <c:bubble3D val="0"/>
            <c:spPr>
              <a:solidFill>
                <a:schemeClr val="accent2">
                  <a:lumMod val="60000"/>
                  <a:lumOff val="40000"/>
                </a:schemeClr>
              </a:solidFill>
              <a:ln>
                <a:solidFill>
                  <a:schemeClr val="accent1"/>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1-3F34-AC42-B517-7AEF57F5AEF4}"/>
              </c:ext>
            </c:extLst>
          </c:dPt>
          <c:dPt>
            <c:idx val="1"/>
            <c:bubble3D val="0"/>
            <c:spPr>
              <a:solidFill>
                <a:schemeClr val="accent6">
                  <a:lumMod val="60000"/>
                  <a:lumOff val="40000"/>
                </a:schemeClr>
              </a:solidFill>
              <a:ln>
                <a:solidFill>
                  <a:schemeClr val="accent1"/>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2-3F34-AC42-B517-7AEF57F5AEF4}"/>
              </c:ext>
            </c:extLst>
          </c:dPt>
          <c:dPt>
            <c:idx val="2"/>
            <c:bubble3D val="0"/>
            <c:spPr>
              <a:solidFill>
                <a:schemeClr val="accent4">
                  <a:lumMod val="60000"/>
                  <a:lumOff val="40000"/>
                </a:schemeClr>
              </a:solidFill>
              <a:ln>
                <a:solidFill>
                  <a:schemeClr val="accent1"/>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5-628E-724E-B53F-9CE234E44663}"/>
              </c:ext>
            </c:extLst>
          </c:dPt>
          <c:dPt>
            <c:idx val="3"/>
            <c:bubble3D val="0"/>
            <c:spPr>
              <a:solidFill>
                <a:srgbClr val="F4628C"/>
              </a:solidFill>
              <a:ln>
                <a:solidFill>
                  <a:schemeClr val="accent1"/>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6-8F6F-4A6A-B16A-77CDA609A4C1}"/>
              </c:ext>
            </c:extLst>
          </c:dPt>
          <c:dLbls>
            <c:dLbl>
              <c:idx val="0"/>
              <c:delete val="1"/>
              <c:extLst>
                <c:ext xmlns:c15="http://schemas.microsoft.com/office/drawing/2012/chart" uri="{CE6537A1-D6FC-4f65-9D91-7224C49458BB}"/>
                <c:ext xmlns:c16="http://schemas.microsoft.com/office/drawing/2014/chart" uri="{C3380CC4-5D6E-409C-BE32-E72D297353CC}">
                  <c16:uniqueId val="{00000001-3F34-AC42-B517-7AEF57F5AEF4}"/>
                </c:ext>
              </c:extLst>
            </c:dLbl>
            <c:dLbl>
              <c:idx val="1"/>
              <c:layout>
                <c:manualLayout>
                  <c:x val="-3.3905600612234008E-2"/>
                  <c:y val="0.12524176493642986"/>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3F34-AC42-B517-7AEF57F5AEF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Century Gothic" panose="020B0502020202020204" pitchFamily="34" charset="0"/>
                    <a:ea typeface="+mn-ea"/>
                    <a:cs typeface="+mn-cs"/>
                  </a:defRPr>
                </a:pPr>
                <a:endParaRPr lang="fr-FR"/>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val>
            <c:numRef>
              <c:f>'PM Issue Tracking'!$H$5:$H$8</c:f>
              <c:numCache>
                <c:formatCode>General</c:formatCode>
                <c:ptCount val="4"/>
                <c:pt idx="0">
                  <c:v>0</c:v>
                </c:pt>
                <c:pt idx="1">
                  <c:v>28</c:v>
                </c:pt>
                <c:pt idx="2">
                  <c:v>54</c:v>
                </c:pt>
                <c:pt idx="3">
                  <c:v>16</c:v>
                </c:pt>
              </c:numCache>
            </c:numRef>
          </c:val>
          <c:extLst>
            <c:ext xmlns:c15="http://schemas.microsoft.com/office/drawing/2012/chart" uri="{02D57815-91ED-43cb-92C2-25804820EDAC}">
              <c15:filteredCategoryTitle>
                <c15:cat>
                  <c:multiLvlStrRef>
                    <c:extLst>
                      <c:ext uri="{02D57815-91ED-43cb-92C2-25804820EDAC}">
                        <c15:formulaRef>
                          <c15:sqref>'PM Issue Tracking'!#REF!</c15:sqref>
                        </c15:formulaRef>
                      </c:ext>
                    </c:extLst>
                  </c:multiLvlStrRef>
                </c15:cat>
              </c15:filteredCategoryTitle>
            </c:ext>
            <c:ext xmlns:c16="http://schemas.microsoft.com/office/drawing/2014/chart" uri="{C3380CC4-5D6E-409C-BE32-E72D297353CC}">
              <c16:uniqueId val="{00000000-3F34-AC42-B517-7AEF57F5AEF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2035710039007555"/>
          <c:y val="0.91771540248116468"/>
          <c:w val="0.61311581908615009"/>
          <c:h val="6.070186370588568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Century Gothic" panose="020B0502020202020204" pitchFamily="34" charset="0"/>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1742661</xdr:colOff>
      <xdr:row>12</xdr:row>
      <xdr:rowOff>1152938</xdr:rowOff>
    </xdr:from>
    <xdr:to>
      <xdr:col>4</xdr:col>
      <xdr:colOff>715618</xdr:colOff>
      <xdr:row>12</xdr:row>
      <xdr:rowOff>4140889</xdr:rowOff>
    </xdr:to>
    <xdr:graphicFrame macro="">
      <xdr:nvGraphicFramePr>
        <xdr:cNvPr id="4" name="Chart 3">
          <a:extLst>
            <a:ext uri="{FF2B5EF4-FFF2-40B4-BE49-F238E27FC236}">
              <a16:creationId xmlns:a16="http://schemas.microsoft.com/office/drawing/2014/main" id="{1FE1C4F3-602E-5B41-BA0A-53CE1A109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807970</xdr:colOff>
      <xdr:row>12</xdr:row>
      <xdr:rowOff>1146313</xdr:rowOff>
    </xdr:from>
    <xdr:to>
      <xdr:col>6</xdr:col>
      <xdr:colOff>583097</xdr:colOff>
      <xdr:row>12</xdr:row>
      <xdr:rowOff>4144616</xdr:rowOff>
    </xdr:to>
    <xdr:graphicFrame macro="">
      <xdr:nvGraphicFramePr>
        <xdr:cNvPr id="5" name="Chart 4">
          <a:extLst>
            <a:ext uri="{FF2B5EF4-FFF2-40B4-BE49-F238E27FC236}">
              <a16:creationId xmlns:a16="http://schemas.microsoft.com/office/drawing/2014/main" id="{27ADBD78-F3C0-284D-BB8D-19F769268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xdr:col>
      <xdr:colOff>177800</xdr:colOff>
      <xdr:row>1</xdr:row>
      <xdr:rowOff>57150</xdr:rowOff>
    </xdr:to>
    <xdr:pic>
      <xdr:nvPicPr>
        <xdr:cNvPr id="7" name="Picture 6">
          <a:extLst>
            <a:ext uri="{FF2B5EF4-FFF2-40B4-BE49-F238E27FC236}">
              <a16:creationId xmlns:a16="http://schemas.microsoft.com/office/drawing/2014/main" id="{3AAEFC5E-8346-4A52-B408-C6EBE435A8EA}"/>
            </a:ext>
          </a:extLst>
        </xdr:cNvPr>
        <xdr:cNvPicPr>
          <a:picLocks noChangeAspect="1"/>
        </xdr:cNvPicPr>
      </xdr:nvPicPr>
      <xdr:blipFill>
        <a:blip xmlns:r="http://schemas.openxmlformats.org/officeDocument/2006/relationships" r:embed="rId3"/>
        <a:stretch>
          <a:fillRect/>
        </a:stretch>
      </xdr:blipFill>
      <xdr:spPr>
        <a:xfrm>
          <a:off x="0" y="0"/>
          <a:ext cx="1206500" cy="552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ga Esene" id="{0DA01BF1-7932-44C0-9455-BD79F70494AA}" userId="8283c31c01f3dc27"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2" dT="2026-07-17T14:30:35.31" personId="{0DA01BF1-7932-44C0-9455-BD79F70494AA}" id="{750D7F0F-F35B-48BA-B520-9A93D504F67C}">
    <text>ref with line 76 and 77 and need to confirwith user if solution proposed solved these 2</text>
  </threadedComment>
  <threadedComment ref="C86" dT="2026-07-17T14:27:40.26" personId="{0DA01BF1-7932-44C0-9455-BD79F70494AA}" id="{1187FE78-0EBF-4E36-ADCF-E84DA47493B0}">
    <text>issue exist already with diff description</text>
  </threadedComment>
  <threadedComment ref="C87" dT="2026-07-17T14:28:37.68" personId="{0DA01BF1-7932-44C0-9455-BD79F70494AA}" id="{AD9151E3-7D8B-4F65-97EE-379D7E905193}">
    <text>issue exist already with different description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CC"/>
    <pageSetUpPr fitToPage="1"/>
  </sheetPr>
  <dimension ref="A1:R702"/>
  <sheetViews>
    <sheetView showGridLines="0" tabSelected="1" topLeftCell="A106" zoomScaleNormal="100" workbookViewId="0">
      <selection activeCell="D112" sqref="D112"/>
    </sheetView>
  </sheetViews>
  <sheetFormatPr baseColWidth="10" defaultColWidth="11" defaultRowHeight="12.5"/>
  <cols>
    <col min="1" max="1" width="3.33203125" style="1" customWidth="1"/>
    <col min="2" max="2" width="10.1640625" style="2" customWidth="1"/>
    <col min="3" max="3" width="46.58203125" style="2" customWidth="1"/>
    <col min="4" max="5" width="15.6640625" style="2" customWidth="1"/>
    <col min="6" max="6" width="16.83203125" style="92" customWidth="1"/>
    <col min="7" max="7" width="13.4140625" style="2" customWidth="1"/>
    <col min="8" max="9" width="15.6640625" style="2" customWidth="1"/>
    <col min="10" max="10" width="17.83203125" style="2" customWidth="1"/>
    <col min="11" max="11" width="22.6640625" style="1" customWidth="1"/>
    <col min="12" max="12" width="20.33203125" style="1" bestFit="1" customWidth="1"/>
    <col min="13" max="13" width="15.83203125" style="1" customWidth="1"/>
    <col min="14" max="14" width="2" style="1" customWidth="1"/>
    <col min="15" max="16" width="15.83203125" style="1" customWidth="1"/>
    <col min="17" max="17" width="11" style="1"/>
    <col min="18" max="16384" width="11" style="2"/>
  </cols>
  <sheetData>
    <row r="1" spans="1:18" ht="39" customHeight="1"/>
    <row r="2" spans="1:18" ht="31" customHeight="1">
      <c r="B2" s="14" t="s">
        <v>38</v>
      </c>
      <c r="C2" s="12"/>
      <c r="D2" s="12"/>
      <c r="E2" s="12"/>
      <c r="F2" s="93"/>
      <c r="G2" s="12"/>
      <c r="H2" s="12"/>
      <c r="I2" s="12"/>
      <c r="J2" s="12"/>
    </row>
    <row r="3" spans="1:18" ht="40" customHeight="1">
      <c r="B3" s="24" t="s">
        <v>20</v>
      </c>
      <c r="C3" s="12"/>
      <c r="D3" s="12"/>
      <c r="E3" s="25" t="s">
        <v>189</v>
      </c>
      <c r="F3" s="93"/>
      <c r="G3" s="12"/>
      <c r="H3" s="12"/>
      <c r="I3" s="12"/>
      <c r="J3" s="12"/>
    </row>
    <row r="4" spans="1:18" ht="32" customHeight="1">
      <c r="B4" s="112" t="s">
        <v>60</v>
      </c>
      <c r="C4" s="113"/>
      <c r="E4" s="15" t="s">
        <v>1</v>
      </c>
      <c r="F4" s="15" t="s">
        <v>3</v>
      </c>
      <c r="G4" s="15" t="s">
        <v>2</v>
      </c>
      <c r="H4" s="15" t="s">
        <v>4</v>
      </c>
      <c r="I4" s="19"/>
      <c r="J4" s="20"/>
      <c r="R4" s="1"/>
    </row>
    <row r="5" spans="1:18" ht="32" customHeight="1">
      <c r="B5" s="108" t="s">
        <v>61</v>
      </c>
      <c r="C5" s="109"/>
      <c r="E5" s="13" t="s">
        <v>5</v>
      </c>
      <c r="F5" s="16">
        <f t="shared" ref="F5:F10" si="0">COUNTIF($D$16:$D$150,E5)</f>
        <v>12</v>
      </c>
      <c r="G5" s="43" t="s">
        <v>7</v>
      </c>
      <c r="H5" s="16">
        <f>COUNTIF($E$16:$E$150,G5)</f>
        <v>0</v>
      </c>
      <c r="I5" s="21"/>
      <c r="J5" s="18"/>
      <c r="R5" s="1"/>
    </row>
    <row r="6" spans="1:18" ht="32" customHeight="1">
      <c r="B6" s="112" t="s">
        <v>21</v>
      </c>
      <c r="C6" s="113"/>
      <c r="E6" s="13" t="s">
        <v>6</v>
      </c>
      <c r="F6" s="16">
        <f t="shared" si="0"/>
        <v>15</v>
      </c>
      <c r="G6" s="43" t="s">
        <v>8</v>
      </c>
      <c r="H6" s="16">
        <f>COUNTIF($E$16:$E$150,G6)</f>
        <v>28</v>
      </c>
      <c r="I6" s="21"/>
      <c r="J6" s="18"/>
      <c r="R6" s="1"/>
    </row>
    <row r="7" spans="1:18" ht="32" customHeight="1">
      <c r="B7" s="108" t="s">
        <v>59</v>
      </c>
      <c r="C7" s="109"/>
      <c r="E7" s="13" t="s">
        <v>15</v>
      </c>
      <c r="F7" s="16">
        <f t="shared" si="0"/>
        <v>1</v>
      </c>
      <c r="G7" s="43" t="s">
        <v>9</v>
      </c>
      <c r="H7" s="16">
        <f>COUNTIF($E$16:$E$150,G7)</f>
        <v>54</v>
      </c>
      <c r="I7" s="21"/>
      <c r="J7" s="18"/>
      <c r="K7" s="3"/>
      <c r="R7" s="1"/>
    </row>
    <row r="8" spans="1:18" ht="32" customHeight="1">
      <c r="B8" s="112" t="s">
        <v>62</v>
      </c>
      <c r="C8" s="113"/>
      <c r="E8" s="13" t="s">
        <v>16</v>
      </c>
      <c r="F8" s="16">
        <f t="shared" si="0"/>
        <v>1</v>
      </c>
      <c r="G8" s="13" t="s">
        <v>18</v>
      </c>
      <c r="H8" s="16">
        <f>COUNTIF($E$16:$E$150,G8)</f>
        <v>16</v>
      </c>
      <c r="I8" s="21"/>
      <c r="J8" s="18"/>
      <c r="K8" s="3"/>
      <c r="R8" s="1"/>
    </row>
    <row r="9" spans="1:18" ht="32" customHeight="1">
      <c r="B9" s="108" t="s">
        <v>22</v>
      </c>
      <c r="C9" s="109"/>
      <c r="E9" s="30" t="s">
        <v>17</v>
      </c>
      <c r="F9" s="16">
        <f t="shared" si="0"/>
        <v>56</v>
      </c>
      <c r="G9" s="44"/>
      <c r="H9" s="22"/>
      <c r="I9" s="18"/>
      <c r="J9" s="18"/>
      <c r="K9" s="3"/>
      <c r="R9" s="1"/>
    </row>
    <row r="10" spans="1:18" ht="32" customHeight="1">
      <c r="B10" s="110"/>
      <c r="C10" s="111"/>
      <c r="E10" s="46" t="s">
        <v>39</v>
      </c>
      <c r="F10" s="16">
        <f t="shared" si="0"/>
        <v>13</v>
      </c>
      <c r="G10" s="45"/>
      <c r="H10" s="18"/>
      <c r="I10" s="18"/>
      <c r="J10" s="18"/>
      <c r="K10" s="3"/>
      <c r="R10" s="1"/>
    </row>
    <row r="11" spans="1:18" ht="32" customHeight="1">
      <c r="B11" s="108"/>
      <c r="C11" s="109"/>
      <c r="E11" s="84" t="s">
        <v>63</v>
      </c>
      <c r="F11" s="84">
        <f>(F5+F6+F7+F8+F9+F10)</f>
        <v>98</v>
      </c>
      <c r="G11" s="18"/>
      <c r="H11" s="18"/>
      <c r="I11" s="18"/>
      <c r="J11" s="3"/>
    </row>
    <row r="12" spans="1:18" ht="15" customHeight="1"/>
    <row r="13" spans="1:18" ht="409.5" customHeight="1"/>
    <row r="14" spans="1:18" ht="15" customHeight="1">
      <c r="B14" s="1"/>
      <c r="C14" s="1"/>
      <c r="D14" s="1"/>
      <c r="E14" s="1"/>
      <c r="F14" s="94"/>
      <c r="G14" s="1"/>
      <c r="H14" s="1"/>
      <c r="I14" s="1"/>
      <c r="J14" s="1"/>
    </row>
    <row r="15" spans="1:18" s="9" customFormat="1" ht="30" customHeight="1">
      <c r="A15" s="8"/>
      <c r="B15" s="47" t="s">
        <v>10</v>
      </c>
      <c r="C15" s="57" t="s">
        <v>11</v>
      </c>
      <c r="D15" s="58" t="s">
        <v>1</v>
      </c>
      <c r="E15" s="58" t="s">
        <v>2</v>
      </c>
      <c r="F15" s="58" t="s">
        <v>25</v>
      </c>
      <c r="G15" s="57" t="s">
        <v>12</v>
      </c>
      <c r="H15" s="57" t="s">
        <v>120</v>
      </c>
      <c r="I15" s="57" t="s">
        <v>13</v>
      </c>
      <c r="J15" s="48" t="s">
        <v>165</v>
      </c>
      <c r="K15" s="17" t="s">
        <v>14</v>
      </c>
      <c r="M15" s="8"/>
      <c r="N15" s="8"/>
      <c r="O15" s="8"/>
      <c r="P15" s="8"/>
      <c r="Q15" s="8"/>
      <c r="R15" s="8"/>
    </row>
    <row r="16" spans="1:18" s="9" customFormat="1" ht="62" customHeight="1">
      <c r="A16" s="8"/>
      <c r="B16" s="28">
        <v>1</v>
      </c>
      <c r="C16" s="26" t="s">
        <v>41</v>
      </c>
      <c r="D16" s="62" t="s">
        <v>17</v>
      </c>
      <c r="E16" s="40" t="s">
        <v>18</v>
      </c>
      <c r="F16" s="40" t="s">
        <v>57</v>
      </c>
      <c r="G16" s="59" t="s">
        <v>117</v>
      </c>
      <c r="H16" s="91">
        <v>46028</v>
      </c>
      <c r="I16" s="91">
        <v>46031</v>
      </c>
      <c r="J16" s="49" t="s">
        <v>166</v>
      </c>
      <c r="K16" s="11"/>
      <c r="M16" s="8"/>
      <c r="N16" s="8"/>
      <c r="O16" s="8"/>
      <c r="P16" s="8"/>
      <c r="Q16" s="8"/>
      <c r="R16" s="8"/>
    </row>
    <row r="17" spans="1:18" s="9" customFormat="1" ht="62" customHeight="1">
      <c r="A17" s="8"/>
      <c r="B17" s="28">
        <v>2</v>
      </c>
      <c r="C17" s="26" t="s">
        <v>37</v>
      </c>
      <c r="D17" s="62" t="s">
        <v>17</v>
      </c>
      <c r="E17" s="40" t="s">
        <v>18</v>
      </c>
      <c r="F17" s="40" t="s">
        <v>26</v>
      </c>
      <c r="G17" s="59" t="s">
        <v>113</v>
      </c>
      <c r="H17" s="91">
        <v>46027</v>
      </c>
      <c r="I17" s="91">
        <v>46030</v>
      </c>
      <c r="J17" s="49" t="s">
        <v>166</v>
      </c>
      <c r="K17" s="11"/>
      <c r="M17" s="8"/>
      <c r="N17" s="8"/>
      <c r="O17" s="8"/>
      <c r="P17" s="8"/>
      <c r="Q17" s="8"/>
      <c r="R17" s="8"/>
    </row>
    <row r="18" spans="1:18" s="9" customFormat="1" ht="62" customHeight="1">
      <c r="A18" s="8"/>
      <c r="B18" s="28">
        <v>3</v>
      </c>
      <c r="C18" s="29" t="s">
        <v>47</v>
      </c>
      <c r="D18" s="66" t="s">
        <v>17</v>
      </c>
      <c r="E18" s="67" t="s">
        <v>18</v>
      </c>
      <c r="F18" s="40" t="s">
        <v>26</v>
      </c>
      <c r="G18" s="68" t="s">
        <v>113</v>
      </c>
      <c r="H18" s="91">
        <v>46032</v>
      </c>
      <c r="I18" s="91">
        <v>46032</v>
      </c>
      <c r="J18" s="69" t="s">
        <v>166</v>
      </c>
      <c r="K18" s="11"/>
      <c r="M18" s="8"/>
      <c r="N18" s="8"/>
      <c r="O18" s="8"/>
      <c r="P18" s="8"/>
      <c r="Q18" s="8"/>
      <c r="R18" s="8"/>
    </row>
    <row r="19" spans="1:18" s="9" customFormat="1" ht="62" customHeight="1">
      <c r="A19" s="8"/>
      <c r="B19" s="28">
        <v>4</v>
      </c>
      <c r="C19" s="52" t="s">
        <v>56</v>
      </c>
      <c r="D19" s="70" t="s">
        <v>17</v>
      </c>
      <c r="E19" s="71" t="s">
        <v>18</v>
      </c>
      <c r="F19" s="40" t="s">
        <v>58</v>
      </c>
      <c r="G19" s="72" t="s">
        <v>124</v>
      </c>
      <c r="H19" s="91">
        <v>46045</v>
      </c>
      <c r="I19" s="91">
        <v>46045</v>
      </c>
      <c r="J19" s="73" t="s">
        <v>167</v>
      </c>
      <c r="K19" s="11"/>
      <c r="M19" s="8"/>
      <c r="N19" s="8"/>
      <c r="O19" s="8"/>
      <c r="P19" s="8"/>
      <c r="Q19" s="8"/>
      <c r="R19" s="8"/>
    </row>
    <row r="20" spans="1:18" s="9" customFormat="1" ht="62" customHeight="1">
      <c r="A20" s="8"/>
      <c r="B20" s="28">
        <v>5</v>
      </c>
      <c r="C20" s="29" t="s">
        <v>46</v>
      </c>
      <c r="D20" s="66" t="s">
        <v>17</v>
      </c>
      <c r="E20" s="67" t="s">
        <v>18</v>
      </c>
      <c r="F20" s="67" t="s">
        <v>27</v>
      </c>
      <c r="G20" s="68" t="s">
        <v>116</v>
      </c>
      <c r="H20" s="91">
        <v>46042</v>
      </c>
      <c r="I20" s="91">
        <v>46045</v>
      </c>
      <c r="J20" s="69" t="s">
        <v>166</v>
      </c>
      <c r="K20" s="11"/>
      <c r="M20" s="8"/>
      <c r="N20" s="8"/>
      <c r="O20" s="8"/>
      <c r="P20" s="8"/>
      <c r="Q20" s="8"/>
      <c r="R20" s="8"/>
    </row>
    <row r="21" spans="1:18" s="9" customFormat="1" ht="62" customHeight="1">
      <c r="A21" s="8"/>
      <c r="B21" s="28">
        <v>6</v>
      </c>
      <c r="C21" s="26" t="s">
        <v>55</v>
      </c>
      <c r="D21" s="60" t="s">
        <v>40</v>
      </c>
      <c r="E21" s="40" t="s">
        <v>18</v>
      </c>
      <c r="F21" s="40" t="s">
        <v>32</v>
      </c>
      <c r="G21" s="59" t="s">
        <v>114</v>
      </c>
      <c r="H21" s="91">
        <v>46044</v>
      </c>
      <c r="I21" s="91"/>
      <c r="J21" s="41"/>
      <c r="K21" s="64" t="s">
        <v>92</v>
      </c>
      <c r="M21" s="8"/>
      <c r="N21" s="8"/>
      <c r="O21" s="8"/>
      <c r="P21" s="8"/>
      <c r="Q21" s="8"/>
      <c r="R21" s="8"/>
    </row>
    <row r="22" spans="1:18" s="9" customFormat="1" ht="62" customHeight="1">
      <c r="A22" s="8"/>
      <c r="B22" s="28">
        <v>7</v>
      </c>
      <c r="C22" s="53" t="s">
        <v>42</v>
      </c>
      <c r="D22" s="74" t="s">
        <v>17</v>
      </c>
      <c r="E22" s="75" t="s">
        <v>18</v>
      </c>
      <c r="F22" s="75" t="s">
        <v>31</v>
      </c>
      <c r="G22" s="76" t="s">
        <v>121</v>
      </c>
      <c r="H22" s="91">
        <v>46059</v>
      </c>
      <c r="I22" s="91">
        <v>46072</v>
      </c>
      <c r="J22" s="77" t="s">
        <v>166</v>
      </c>
      <c r="K22" s="11"/>
      <c r="M22" s="8"/>
      <c r="N22" s="8"/>
      <c r="O22" s="8"/>
      <c r="P22" s="8"/>
      <c r="Q22" s="8"/>
      <c r="R22" s="8"/>
    </row>
    <row r="23" spans="1:18" s="9" customFormat="1" ht="62" customHeight="1">
      <c r="A23" s="8"/>
      <c r="B23" s="28">
        <v>8</v>
      </c>
      <c r="C23" s="26" t="s">
        <v>43</v>
      </c>
      <c r="D23" s="60" t="s">
        <v>40</v>
      </c>
      <c r="E23" s="40" t="s">
        <v>18</v>
      </c>
      <c r="F23" s="40" t="s">
        <v>26</v>
      </c>
      <c r="G23" s="31" t="s">
        <v>115</v>
      </c>
      <c r="H23" s="91">
        <v>46059</v>
      </c>
      <c r="I23" s="91"/>
      <c r="J23" s="41"/>
      <c r="K23" s="65" t="s">
        <v>44</v>
      </c>
      <c r="M23" s="8"/>
      <c r="N23" s="8"/>
      <c r="O23" s="8"/>
      <c r="P23" s="8"/>
      <c r="Q23" s="8"/>
      <c r="R23" s="8"/>
    </row>
    <row r="24" spans="1:18" s="9" customFormat="1" ht="62" customHeight="1">
      <c r="A24" s="8"/>
      <c r="B24" s="28">
        <v>9</v>
      </c>
      <c r="C24" s="52" t="s">
        <v>45</v>
      </c>
      <c r="D24" s="70" t="s">
        <v>17</v>
      </c>
      <c r="E24" s="71" t="s">
        <v>18</v>
      </c>
      <c r="F24" s="71" t="s">
        <v>34</v>
      </c>
      <c r="G24" s="78" t="s">
        <v>124</v>
      </c>
      <c r="H24" s="91">
        <v>46072</v>
      </c>
      <c r="I24" s="91">
        <v>46072</v>
      </c>
      <c r="J24" s="79" t="s">
        <v>166</v>
      </c>
      <c r="K24" s="42"/>
      <c r="M24" s="8"/>
      <c r="N24" s="8"/>
      <c r="O24" s="8"/>
      <c r="P24" s="8"/>
      <c r="Q24" s="8"/>
      <c r="R24" s="8"/>
    </row>
    <row r="25" spans="1:18" s="9" customFormat="1" ht="62" customHeight="1">
      <c r="A25" s="8"/>
      <c r="B25" s="28">
        <v>10</v>
      </c>
      <c r="C25" s="53" t="s">
        <v>36</v>
      </c>
      <c r="D25" s="54" t="s">
        <v>17</v>
      </c>
      <c r="E25" s="50" t="s">
        <v>9</v>
      </c>
      <c r="F25" s="50" t="s">
        <v>27</v>
      </c>
      <c r="G25" s="35" t="s">
        <v>116</v>
      </c>
      <c r="H25" s="91">
        <v>46030</v>
      </c>
      <c r="I25" s="91">
        <v>46106</v>
      </c>
      <c r="J25" s="38" t="s">
        <v>167</v>
      </c>
      <c r="K25" s="39"/>
      <c r="M25" s="8"/>
      <c r="N25" s="8"/>
      <c r="O25" s="8"/>
      <c r="P25" s="8"/>
      <c r="Q25" s="8"/>
      <c r="R25" s="8"/>
    </row>
    <row r="26" spans="1:18" s="9" customFormat="1" ht="62" customHeight="1">
      <c r="A26" s="8"/>
      <c r="B26" s="28">
        <v>11</v>
      </c>
      <c r="C26" s="26" t="s">
        <v>48</v>
      </c>
      <c r="D26" s="62" t="s">
        <v>17</v>
      </c>
      <c r="E26" s="40" t="s">
        <v>18</v>
      </c>
      <c r="F26" s="40" t="s">
        <v>33</v>
      </c>
      <c r="G26" s="59" t="s">
        <v>125</v>
      </c>
      <c r="H26" s="91">
        <v>46086</v>
      </c>
      <c r="I26" s="91">
        <v>46100</v>
      </c>
      <c r="J26" s="49" t="s">
        <v>167</v>
      </c>
      <c r="K26" s="11"/>
      <c r="M26" s="8"/>
      <c r="N26" s="8"/>
      <c r="O26" s="8"/>
      <c r="P26" s="8"/>
      <c r="Q26" s="8"/>
      <c r="R26" s="8"/>
    </row>
    <row r="27" spans="1:18" s="9" customFormat="1" ht="62" customHeight="1">
      <c r="A27" s="8"/>
      <c r="B27" s="28">
        <v>12</v>
      </c>
      <c r="C27" s="33" t="s">
        <v>49</v>
      </c>
      <c r="D27" s="62" t="s">
        <v>17</v>
      </c>
      <c r="E27" s="40" t="s">
        <v>18</v>
      </c>
      <c r="F27" s="40" t="s">
        <v>28</v>
      </c>
      <c r="G27" s="59" t="s">
        <v>114</v>
      </c>
      <c r="H27" s="91">
        <v>46086</v>
      </c>
      <c r="I27" s="91">
        <v>46092</v>
      </c>
      <c r="J27" s="49" t="s">
        <v>167</v>
      </c>
      <c r="K27" s="11"/>
      <c r="M27" s="8"/>
      <c r="N27" s="8"/>
      <c r="O27" s="8"/>
      <c r="P27" s="8"/>
      <c r="Q27" s="8"/>
      <c r="R27" s="8"/>
    </row>
    <row r="28" spans="1:18" s="9" customFormat="1" ht="62" customHeight="1">
      <c r="A28" s="8"/>
      <c r="B28" s="28">
        <v>13</v>
      </c>
      <c r="C28" s="51" t="s">
        <v>50</v>
      </c>
      <c r="D28" s="66" t="s">
        <v>17</v>
      </c>
      <c r="E28" s="67" t="s">
        <v>9</v>
      </c>
      <c r="F28" s="67" t="s">
        <v>31</v>
      </c>
      <c r="G28" s="68" t="s">
        <v>121</v>
      </c>
      <c r="H28" s="91">
        <v>46084</v>
      </c>
      <c r="I28" s="91">
        <v>46093</v>
      </c>
      <c r="J28" s="69" t="s">
        <v>167</v>
      </c>
      <c r="K28" s="11"/>
      <c r="M28" s="8"/>
      <c r="N28" s="8"/>
      <c r="O28" s="8"/>
      <c r="P28" s="8"/>
      <c r="Q28" s="8"/>
      <c r="R28" s="8"/>
    </row>
    <row r="29" spans="1:18" s="9" customFormat="1" ht="62" customHeight="1">
      <c r="A29" s="8"/>
      <c r="B29" s="28">
        <v>14</v>
      </c>
      <c r="C29" s="32" t="s">
        <v>93</v>
      </c>
      <c r="D29" s="60" t="s">
        <v>40</v>
      </c>
      <c r="E29" s="40" t="s">
        <v>9</v>
      </c>
      <c r="F29" s="40" t="s">
        <v>27</v>
      </c>
      <c r="G29" s="59" t="s">
        <v>116</v>
      </c>
      <c r="H29" s="91">
        <v>46090</v>
      </c>
      <c r="I29" s="91"/>
      <c r="J29" s="41"/>
      <c r="K29" s="64" t="s">
        <v>94</v>
      </c>
      <c r="M29" s="8"/>
      <c r="N29" s="8"/>
      <c r="O29" s="8"/>
      <c r="P29" s="8"/>
      <c r="Q29" s="8"/>
      <c r="R29" s="8"/>
    </row>
    <row r="30" spans="1:18" s="9" customFormat="1" ht="62" customHeight="1">
      <c r="A30" s="8"/>
      <c r="B30" s="28">
        <v>15</v>
      </c>
      <c r="C30" s="55" t="s">
        <v>51</v>
      </c>
      <c r="D30" s="56" t="s">
        <v>6</v>
      </c>
      <c r="E30" s="36" t="s">
        <v>8</v>
      </c>
      <c r="F30" s="36" t="s">
        <v>34</v>
      </c>
      <c r="G30" s="37" t="s">
        <v>126</v>
      </c>
      <c r="H30" s="91">
        <v>46073</v>
      </c>
      <c r="I30" s="91"/>
      <c r="J30" s="38"/>
      <c r="K30" s="11" t="s">
        <v>52</v>
      </c>
      <c r="M30" s="8"/>
      <c r="N30" s="8"/>
      <c r="O30" s="8"/>
      <c r="P30" s="8"/>
      <c r="Q30" s="8"/>
      <c r="R30" s="8"/>
    </row>
    <row r="31" spans="1:18" s="9" customFormat="1" ht="62" customHeight="1">
      <c r="A31" s="8"/>
      <c r="B31" s="28">
        <v>16</v>
      </c>
      <c r="C31" s="80" t="s">
        <v>53</v>
      </c>
      <c r="D31" s="74" t="s">
        <v>17</v>
      </c>
      <c r="E31" s="75" t="s">
        <v>18</v>
      </c>
      <c r="F31" s="75" t="s">
        <v>26</v>
      </c>
      <c r="G31" s="81" t="s">
        <v>117</v>
      </c>
      <c r="H31" s="91">
        <v>46092</v>
      </c>
      <c r="I31" s="91">
        <v>46092</v>
      </c>
      <c r="J31" s="77" t="s">
        <v>166</v>
      </c>
      <c r="K31" s="11"/>
      <c r="M31" s="8"/>
      <c r="N31" s="8"/>
      <c r="O31" s="8"/>
      <c r="P31" s="8"/>
      <c r="Q31" s="8"/>
      <c r="R31" s="8"/>
    </row>
    <row r="32" spans="1:18" s="9" customFormat="1" ht="62" customHeight="1">
      <c r="A32" s="8"/>
      <c r="B32" s="28">
        <v>17</v>
      </c>
      <c r="C32" s="33" t="s">
        <v>54</v>
      </c>
      <c r="D32" s="60" t="s">
        <v>16</v>
      </c>
      <c r="E32" s="40" t="s">
        <v>18</v>
      </c>
      <c r="F32" s="40" t="s">
        <v>28</v>
      </c>
      <c r="G32" s="61" t="s">
        <v>114</v>
      </c>
      <c r="H32" s="91">
        <v>46094</v>
      </c>
      <c r="I32" s="91"/>
      <c r="J32" s="41"/>
      <c r="K32" s="64" t="s">
        <v>95</v>
      </c>
      <c r="M32" s="8"/>
      <c r="N32" s="8"/>
      <c r="O32" s="8"/>
      <c r="P32" s="8"/>
      <c r="Q32" s="8"/>
      <c r="R32" s="8"/>
    </row>
    <row r="33" spans="2:18" ht="62" customHeight="1">
      <c r="B33" s="28">
        <v>18</v>
      </c>
      <c r="C33" s="52" t="s">
        <v>96</v>
      </c>
      <c r="D33" s="60" t="s">
        <v>17</v>
      </c>
      <c r="E33" s="89" t="s">
        <v>9</v>
      </c>
      <c r="F33" s="40" t="s">
        <v>31</v>
      </c>
      <c r="G33" s="59" t="s">
        <v>121</v>
      </c>
      <c r="H33" s="91">
        <v>46099</v>
      </c>
      <c r="I33" s="91">
        <v>46104</v>
      </c>
      <c r="J33" s="69" t="s">
        <v>167</v>
      </c>
      <c r="K33" s="40"/>
      <c r="R33" s="1"/>
    </row>
    <row r="34" spans="2:18" ht="62" customHeight="1">
      <c r="B34" s="28">
        <v>19</v>
      </c>
      <c r="C34" s="26" t="s">
        <v>97</v>
      </c>
      <c r="D34" s="60" t="s">
        <v>17</v>
      </c>
      <c r="E34" s="90" t="s">
        <v>9</v>
      </c>
      <c r="F34" s="40" t="s">
        <v>31</v>
      </c>
      <c r="G34" s="59" t="s">
        <v>121</v>
      </c>
      <c r="H34" s="91">
        <v>46099</v>
      </c>
      <c r="I34" s="91">
        <v>46104</v>
      </c>
      <c r="J34" s="69" t="s">
        <v>167</v>
      </c>
      <c r="K34" s="40"/>
      <c r="R34" s="1"/>
    </row>
    <row r="35" spans="2:18" ht="62" customHeight="1">
      <c r="B35" s="28">
        <v>20</v>
      </c>
      <c r="C35" s="26" t="s">
        <v>98</v>
      </c>
      <c r="D35" s="60" t="s">
        <v>17</v>
      </c>
      <c r="E35" s="90" t="s">
        <v>9</v>
      </c>
      <c r="F35" s="40" t="s">
        <v>31</v>
      </c>
      <c r="G35" s="59" t="s">
        <v>121</v>
      </c>
      <c r="H35" s="91">
        <v>46104</v>
      </c>
      <c r="I35" s="91">
        <v>46113</v>
      </c>
      <c r="J35" s="69" t="s">
        <v>167</v>
      </c>
      <c r="K35" s="40"/>
      <c r="R35" s="1"/>
    </row>
    <row r="36" spans="2:18" ht="62" customHeight="1">
      <c r="B36" s="28">
        <v>21</v>
      </c>
      <c r="C36" s="26" t="s">
        <v>99</v>
      </c>
      <c r="D36" s="60" t="s">
        <v>17</v>
      </c>
      <c r="E36" s="90" t="s">
        <v>9</v>
      </c>
      <c r="F36" s="36" t="s">
        <v>28</v>
      </c>
      <c r="G36" s="61" t="s">
        <v>114</v>
      </c>
      <c r="H36" s="91">
        <v>46099</v>
      </c>
      <c r="I36" s="91">
        <v>46107</v>
      </c>
      <c r="J36" s="69" t="s">
        <v>167</v>
      </c>
      <c r="K36" s="36"/>
      <c r="R36" s="1"/>
    </row>
    <row r="37" spans="2:18" ht="62" customHeight="1">
      <c r="B37" s="28">
        <v>22</v>
      </c>
      <c r="C37" s="26" t="s">
        <v>100</v>
      </c>
      <c r="D37" s="60" t="s">
        <v>17</v>
      </c>
      <c r="E37" s="90" t="s">
        <v>9</v>
      </c>
      <c r="F37" s="13" t="s">
        <v>27</v>
      </c>
      <c r="G37" s="10" t="s">
        <v>116</v>
      </c>
      <c r="H37" s="91">
        <v>46100</v>
      </c>
      <c r="I37" s="91">
        <v>46106</v>
      </c>
      <c r="J37" s="69" t="s">
        <v>167</v>
      </c>
      <c r="K37" s="13"/>
      <c r="R37" s="1"/>
    </row>
    <row r="38" spans="2:18" ht="62" customHeight="1">
      <c r="B38" s="28">
        <v>23</v>
      </c>
      <c r="C38" s="26" t="s">
        <v>101</v>
      </c>
      <c r="D38" s="60" t="s">
        <v>17</v>
      </c>
      <c r="E38" s="90" t="s">
        <v>9</v>
      </c>
      <c r="F38" s="13" t="s">
        <v>28</v>
      </c>
      <c r="G38" s="61" t="s">
        <v>114</v>
      </c>
      <c r="H38" s="91">
        <v>46107</v>
      </c>
      <c r="I38" s="91">
        <v>46107</v>
      </c>
      <c r="J38" s="69" t="s">
        <v>167</v>
      </c>
      <c r="K38" s="13"/>
      <c r="R38" s="1"/>
    </row>
    <row r="39" spans="2:18" ht="62" customHeight="1">
      <c r="B39" s="28">
        <v>24</v>
      </c>
      <c r="C39" s="26" t="s">
        <v>102</v>
      </c>
      <c r="D39" s="60" t="s">
        <v>40</v>
      </c>
      <c r="E39" s="13" t="s">
        <v>8</v>
      </c>
      <c r="F39" s="13" t="s">
        <v>27</v>
      </c>
      <c r="G39" s="10" t="s">
        <v>127</v>
      </c>
      <c r="H39" s="91">
        <v>46111</v>
      </c>
      <c r="I39" s="91"/>
      <c r="J39" s="69"/>
      <c r="K39" s="65" t="s">
        <v>103</v>
      </c>
      <c r="R39" s="1"/>
    </row>
    <row r="40" spans="2:18" ht="62" customHeight="1">
      <c r="B40" s="28">
        <v>25</v>
      </c>
      <c r="C40" s="26" t="s">
        <v>104</v>
      </c>
      <c r="D40" s="60" t="s">
        <v>40</v>
      </c>
      <c r="E40" s="13" t="s">
        <v>8</v>
      </c>
      <c r="F40" s="13" t="s">
        <v>28</v>
      </c>
      <c r="G40" s="10" t="s">
        <v>114</v>
      </c>
      <c r="H40" s="91">
        <v>46113</v>
      </c>
      <c r="I40" s="91"/>
      <c r="J40" s="69"/>
      <c r="K40" s="65" t="s">
        <v>118</v>
      </c>
      <c r="R40" s="1"/>
    </row>
    <row r="41" spans="2:18" ht="62" customHeight="1">
      <c r="B41" s="28">
        <v>26</v>
      </c>
      <c r="C41" s="26" t="s">
        <v>108</v>
      </c>
      <c r="D41" s="60" t="s">
        <v>40</v>
      </c>
      <c r="E41" s="13" t="s">
        <v>8</v>
      </c>
      <c r="F41" s="13" t="s">
        <v>28</v>
      </c>
      <c r="G41" s="10" t="s">
        <v>114</v>
      </c>
      <c r="H41" s="91">
        <v>46113</v>
      </c>
      <c r="I41" s="91"/>
      <c r="J41" s="69"/>
      <c r="K41" s="65" t="s">
        <v>119</v>
      </c>
      <c r="R41" s="1"/>
    </row>
    <row r="42" spans="2:18" ht="62" customHeight="1">
      <c r="B42" s="28">
        <v>27</v>
      </c>
      <c r="C42" s="26" t="s">
        <v>105</v>
      </c>
      <c r="D42" s="60" t="s">
        <v>17</v>
      </c>
      <c r="E42" s="13" t="s">
        <v>9</v>
      </c>
      <c r="F42" s="13" t="s">
        <v>31</v>
      </c>
      <c r="G42" s="10" t="s">
        <v>121</v>
      </c>
      <c r="H42" s="91">
        <v>46116</v>
      </c>
      <c r="I42" s="91">
        <v>46118</v>
      </c>
      <c r="J42" s="69" t="s">
        <v>167</v>
      </c>
      <c r="K42" s="13"/>
      <c r="R42" s="1"/>
    </row>
    <row r="43" spans="2:18" ht="62" customHeight="1">
      <c r="B43" s="28">
        <v>28</v>
      </c>
      <c r="C43" s="26" t="s">
        <v>106</v>
      </c>
      <c r="D43" s="13" t="s">
        <v>17</v>
      </c>
      <c r="E43" s="13" t="s">
        <v>8</v>
      </c>
      <c r="F43" s="13" t="s">
        <v>31</v>
      </c>
      <c r="G43" s="10" t="s">
        <v>121</v>
      </c>
      <c r="H43" s="91">
        <v>46119</v>
      </c>
      <c r="I43" s="91">
        <v>46125</v>
      </c>
      <c r="J43" s="69" t="s">
        <v>167</v>
      </c>
      <c r="K43" s="13"/>
      <c r="R43" s="1"/>
    </row>
    <row r="44" spans="2:18" ht="62" customHeight="1">
      <c r="B44" s="28">
        <v>29</v>
      </c>
      <c r="C44" s="26" t="s">
        <v>107</v>
      </c>
      <c r="D44" s="13" t="s">
        <v>6</v>
      </c>
      <c r="E44" s="13" t="s">
        <v>8</v>
      </c>
      <c r="F44" s="13" t="s">
        <v>31</v>
      </c>
      <c r="G44" s="10" t="s">
        <v>121</v>
      </c>
      <c r="H44" s="91">
        <v>46119</v>
      </c>
      <c r="I44" s="91"/>
      <c r="J44" s="69"/>
      <c r="K44" s="13"/>
      <c r="R44" s="1"/>
    </row>
    <row r="45" spans="2:18" ht="62" customHeight="1">
      <c r="B45" s="28">
        <v>30</v>
      </c>
      <c r="C45" s="26" t="s">
        <v>109</v>
      </c>
      <c r="D45" s="13" t="s">
        <v>17</v>
      </c>
      <c r="E45" s="13" t="s">
        <v>8</v>
      </c>
      <c r="F45" s="13" t="s">
        <v>27</v>
      </c>
      <c r="G45" s="10" t="s">
        <v>116</v>
      </c>
      <c r="H45" s="91">
        <v>46121</v>
      </c>
      <c r="I45" s="91">
        <v>46121</v>
      </c>
      <c r="J45" s="69" t="s">
        <v>167</v>
      </c>
      <c r="K45" s="13"/>
      <c r="R45" s="1"/>
    </row>
    <row r="46" spans="2:18" ht="62" customHeight="1">
      <c r="B46" s="28">
        <v>31</v>
      </c>
      <c r="C46" s="26" t="s">
        <v>110</v>
      </c>
      <c r="D46" s="13" t="s">
        <v>17</v>
      </c>
      <c r="E46" s="13" t="s">
        <v>18</v>
      </c>
      <c r="F46" s="13" t="s">
        <v>26</v>
      </c>
      <c r="G46" s="10" t="s">
        <v>113</v>
      </c>
      <c r="H46" s="91">
        <v>46121</v>
      </c>
      <c r="I46" s="91">
        <v>46121</v>
      </c>
      <c r="J46" s="69" t="s">
        <v>167</v>
      </c>
      <c r="K46" s="13"/>
      <c r="R46" s="1"/>
    </row>
    <row r="47" spans="2:18" ht="62" customHeight="1">
      <c r="B47" s="28">
        <v>32</v>
      </c>
      <c r="C47" s="26" t="s">
        <v>111</v>
      </c>
      <c r="D47" s="13" t="s">
        <v>17</v>
      </c>
      <c r="E47" s="13" t="s">
        <v>9</v>
      </c>
      <c r="F47" s="13" t="s">
        <v>26</v>
      </c>
      <c r="G47" s="10" t="s">
        <v>113</v>
      </c>
      <c r="H47" s="91">
        <v>46126</v>
      </c>
      <c r="I47" s="91">
        <v>46127</v>
      </c>
      <c r="J47" s="69" t="s">
        <v>167</v>
      </c>
      <c r="K47" s="13"/>
      <c r="R47" s="1"/>
    </row>
    <row r="48" spans="2:18" ht="62" customHeight="1">
      <c r="B48" s="28">
        <v>33</v>
      </c>
      <c r="C48" s="26" t="s">
        <v>112</v>
      </c>
      <c r="D48" s="60" t="s">
        <v>17</v>
      </c>
      <c r="E48" s="13" t="s">
        <v>9</v>
      </c>
      <c r="F48" s="13" t="s">
        <v>27</v>
      </c>
      <c r="G48" s="10" t="s">
        <v>128</v>
      </c>
      <c r="H48" s="91">
        <v>46126</v>
      </c>
      <c r="I48" s="91">
        <v>46132</v>
      </c>
      <c r="J48" s="69" t="s">
        <v>167</v>
      </c>
      <c r="K48" s="13"/>
      <c r="R48" s="1"/>
    </row>
    <row r="49" spans="2:11" ht="62" customHeight="1">
      <c r="B49" s="28">
        <v>34</v>
      </c>
      <c r="C49" s="26" t="s">
        <v>122</v>
      </c>
      <c r="D49" s="60" t="s">
        <v>17</v>
      </c>
      <c r="E49" s="13" t="s">
        <v>9</v>
      </c>
      <c r="F49" s="13" t="s">
        <v>31</v>
      </c>
      <c r="G49" s="10" t="s">
        <v>121</v>
      </c>
      <c r="H49" s="91">
        <v>46132</v>
      </c>
      <c r="I49" s="91">
        <v>46134</v>
      </c>
      <c r="J49" s="69" t="s">
        <v>167</v>
      </c>
      <c r="K49" s="13"/>
    </row>
    <row r="50" spans="2:11" ht="52">
      <c r="B50" s="28">
        <v>35</v>
      </c>
      <c r="C50" s="26" t="s">
        <v>123</v>
      </c>
      <c r="D50" s="60" t="s">
        <v>17</v>
      </c>
      <c r="E50" s="13" t="s">
        <v>9</v>
      </c>
      <c r="F50" s="13" t="s">
        <v>31</v>
      </c>
      <c r="G50" s="10" t="s">
        <v>121</v>
      </c>
      <c r="H50" s="91">
        <v>46135</v>
      </c>
      <c r="I50" s="91">
        <v>46142</v>
      </c>
      <c r="J50" s="69" t="s">
        <v>167</v>
      </c>
      <c r="K50" s="13"/>
    </row>
    <row r="51" spans="2:11" ht="62" customHeight="1">
      <c r="B51" s="28">
        <v>36</v>
      </c>
      <c r="C51" s="26" t="s">
        <v>129</v>
      </c>
      <c r="D51" s="60" t="s">
        <v>17</v>
      </c>
      <c r="E51" s="13" t="s">
        <v>9</v>
      </c>
      <c r="F51" s="13" t="s">
        <v>26</v>
      </c>
      <c r="G51" s="10" t="s">
        <v>113</v>
      </c>
      <c r="H51" s="91">
        <v>46136</v>
      </c>
      <c r="I51" s="91">
        <v>46139</v>
      </c>
      <c r="J51" s="69" t="s">
        <v>168</v>
      </c>
      <c r="K51" s="13"/>
    </row>
    <row r="52" spans="2:11" ht="22.5" customHeight="1">
      <c r="B52" s="28">
        <v>37</v>
      </c>
      <c r="C52" s="26" t="s">
        <v>130</v>
      </c>
      <c r="D52" s="60" t="s">
        <v>6</v>
      </c>
      <c r="E52" s="13" t="s">
        <v>9</v>
      </c>
      <c r="F52" s="13" t="s">
        <v>26</v>
      </c>
      <c r="G52" s="10" t="s">
        <v>113</v>
      </c>
      <c r="H52" s="91">
        <v>46139</v>
      </c>
      <c r="I52" s="13"/>
      <c r="J52" s="69"/>
      <c r="K52" s="13"/>
    </row>
    <row r="53" spans="2:11" ht="62" customHeight="1">
      <c r="B53" s="28">
        <v>38</v>
      </c>
      <c r="C53" s="26" t="s">
        <v>131</v>
      </c>
      <c r="D53" s="60" t="s">
        <v>40</v>
      </c>
      <c r="E53" s="13" t="s">
        <v>9</v>
      </c>
      <c r="F53" s="13" t="s">
        <v>27</v>
      </c>
      <c r="G53" s="10" t="s">
        <v>116</v>
      </c>
      <c r="H53" s="91">
        <v>46139</v>
      </c>
      <c r="I53" s="13"/>
      <c r="J53" s="69"/>
      <c r="K53" s="13" t="s">
        <v>132</v>
      </c>
    </row>
    <row r="54" spans="2:11" ht="62" customHeight="1">
      <c r="B54" s="28">
        <v>39</v>
      </c>
      <c r="C54" s="26" t="s">
        <v>133</v>
      </c>
      <c r="D54" s="60" t="s">
        <v>17</v>
      </c>
      <c r="E54" s="13" t="s">
        <v>9</v>
      </c>
      <c r="F54" s="13" t="s">
        <v>27</v>
      </c>
      <c r="G54" s="10" t="s">
        <v>135</v>
      </c>
      <c r="H54" s="91">
        <v>46146</v>
      </c>
      <c r="I54" s="91">
        <v>46157</v>
      </c>
      <c r="J54" s="69" t="s">
        <v>167</v>
      </c>
      <c r="K54" s="13"/>
    </row>
    <row r="55" spans="2:11" ht="62" customHeight="1">
      <c r="B55" s="28">
        <v>40</v>
      </c>
      <c r="C55" s="33" t="s">
        <v>134</v>
      </c>
      <c r="D55" s="60" t="s">
        <v>17</v>
      </c>
      <c r="E55" s="13" t="s">
        <v>9</v>
      </c>
      <c r="F55" s="13" t="s">
        <v>27</v>
      </c>
      <c r="G55" s="10" t="s">
        <v>135</v>
      </c>
      <c r="H55" s="91">
        <v>46146</v>
      </c>
      <c r="I55" s="91">
        <v>46234</v>
      </c>
      <c r="J55" s="69" t="s">
        <v>168</v>
      </c>
      <c r="K55" s="13"/>
    </row>
    <row r="56" spans="2:11" ht="62" customHeight="1">
      <c r="B56" s="28">
        <v>41</v>
      </c>
      <c r="C56" s="33" t="s">
        <v>136</v>
      </c>
      <c r="D56" s="60" t="s">
        <v>17</v>
      </c>
      <c r="E56" s="13" t="s">
        <v>9</v>
      </c>
      <c r="F56" s="13" t="s">
        <v>27</v>
      </c>
      <c r="G56" s="10" t="s">
        <v>135</v>
      </c>
      <c r="H56" s="91">
        <v>46146</v>
      </c>
      <c r="I56" s="91">
        <v>46157</v>
      </c>
      <c r="J56" s="69" t="s">
        <v>167</v>
      </c>
      <c r="K56" s="13"/>
    </row>
    <row r="57" spans="2:11" ht="62" customHeight="1">
      <c r="B57" s="28">
        <v>42</v>
      </c>
      <c r="C57" s="26" t="s">
        <v>137</v>
      </c>
      <c r="D57" s="60" t="s">
        <v>17</v>
      </c>
      <c r="E57" s="13" t="s">
        <v>9</v>
      </c>
      <c r="F57" s="13"/>
      <c r="G57" s="10" t="s">
        <v>124</v>
      </c>
      <c r="H57" s="91">
        <v>46146</v>
      </c>
      <c r="I57" s="91">
        <v>46148</v>
      </c>
      <c r="J57" s="69" t="s">
        <v>167</v>
      </c>
      <c r="K57" s="13"/>
    </row>
    <row r="58" spans="2:11" ht="62" customHeight="1">
      <c r="B58" s="28">
        <v>43</v>
      </c>
      <c r="C58" s="26" t="s">
        <v>138</v>
      </c>
      <c r="D58" s="60" t="s">
        <v>6</v>
      </c>
      <c r="E58" s="13" t="s">
        <v>9</v>
      </c>
      <c r="F58" s="13" t="s">
        <v>28</v>
      </c>
      <c r="G58" s="10" t="s">
        <v>117</v>
      </c>
      <c r="H58" s="91">
        <v>46153</v>
      </c>
      <c r="I58" s="13"/>
      <c r="J58" s="69"/>
      <c r="K58" s="13"/>
    </row>
    <row r="59" spans="2:11" ht="32">
      <c r="B59" s="28">
        <v>44</v>
      </c>
      <c r="C59" s="26" t="s">
        <v>139</v>
      </c>
      <c r="D59" s="60" t="s">
        <v>17</v>
      </c>
      <c r="E59" s="13" t="s">
        <v>9</v>
      </c>
      <c r="F59" s="13" t="s">
        <v>33</v>
      </c>
      <c r="G59" s="10" t="s">
        <v>140</v>
      </c>
      <c r="H59" s="91">
        <v>46153</v>
      </c>
      <c r="I59" s="91">
        <v>46157</v>
      </c>
      <c r="J59" s="69" t="s">
        <v>167</v>
      </c>
      <c r="K59" s="13"/>
    </row>
    <row r="60" spans="2:11" ht="32">
      <c r="B60" s="28">
        <v>45</v>
      </c>
      <c r="C60" s="26" t="s">
        <v>148</v>
      </c>
      <c r="D60" s="60" t="s">
        <v>17</v>
      </c>
      <c r="E60" s="13" t="s">
        <v>9</v>
      </c>
      <c r="F60" s="13" t="s">
        <v>33</v>
      </c>
      <c r="G60" s="10" t="s">
        <v>135</v>
      </c>
      <c r="H60" s="91">
        <v>46154</v>
      </c>
      <c r="I60" s="91">
        <v>46155</v>
      </c>
      <c r="J60" s="69" t="s">
        <v>168</v>
      </c>
      <c r="K60" s="13"/>
    </row>
    <row r="61" spans="2:11" ht="48">
      <c r="B61" s="28">
        <v>46</v>
      </c>
      <c r="C61" s="26" t="s">
        <v>141</v>
      </c>
      <c r="D61" s="60" t="s">
        <v>17</v>
      </c>
      <c r="E61" s="13" t="s">
        <v>9</v>
      </c>
      <c r="F61" s="13" t="s">
        <v>28</v>
      </c>
      <c r="G61" s="10" t="s">
        <v>143</v>
      </c>
      <c r="H61" s="91">
        <v>46154</v>
      </c>
      <c r="I61" s="91">
        <v>46157</v>
      </c>
      <c r="J61" s="69" t="s">
        <v>167</v>
      </c>
      <c r="K61" s="13" t="s">
        <v>145</v>
      </c>
    </row>
    <row r="62" spans="2:11" ht="16">
      <c r="B62" s="28">
        <v>47</v>
      </c>
      <c r="C62" s="26" t="s">
        <v>142</v>
      </c>
      <c r="D62" s="60" t="s">
        <v>6</v>
      </c>
      <c r="E62" s="13" t="s">
        <v>9</v>
      </c>
      <c r="F62" s="13" t="s">
        <v>28</v>
      </c>
      <c r="G62" s="10" t="s">
        <v>143</v>
      </c>
      <c r="H62" s="91">
        <v>46154</v>
      </c>
      <c r="I62" s="13"/>
      <c r="J62" s="69"/>
      <c r="K62" s="13"/>
    </row>
    <row r="63" spans="2:11" ht="64">
      <c r="B63" s="28">
        <v>48</v>
      </c>
      <c r="C63" s="26" t="s">
        <v>144</v>
      </c>
      <c r="D63" s="60" t="s">
        <v>17</v>
      </c>
      <c r="E63" s="13" t="s">
        <v>9</v>
      </c>
      <c r="F63" s="13" t="s">
        <v>28</v>
      </c>
      <c r="G63" s="10" t="s">
        <v>125</v>
      </c>
      <c r="H63" s="91">
        <v>46154</v>
      </c>
      <c r="I63" s="91">
        <v>46157</v>
      </c>
      <c r="J63" s="69" t="s">
        <v>167</v>
      </c>
      <c r="K63" s="13" t="s">
        <v>146</v>
      </c>
    </row>
    <row r="64" spans="2:11" ht="39">
      <c r="B64" s="28">
        <v>49</v>
      </c>
      <c r="C64" s="26" t="s">
        <v>147</v>
      </c>
      <c r="D64" s="60" t="s">
        <v>6</v>
      </c>
      <c r="E64" s="13" t="s">
        <v>9</v>
      </c>
      <c r="F64" s="13" t="s">
        <v>34</v>
      </c>
      <c r="G64" s="10" t="s">
        <v>149</v>
      </c>
      <c r="H64" s="91">
        <v>46155</v>
      </c>
      <c r="I64" s="13"/>
      <c r="J64" s="69"/>
      <c r="K64" s="10"/>
    </row>
    <row r="65" spans="2:11" ht="16">
      <c r="B65" s="28">
        <v>50</v>
      </c>
      <c r="C65" s="26" t="s">
        <v>150</v>
      </c>
      <c r="D65" s="60" t="s">
        <v>15</v>
      </c>
      <c r="E65" s="13" t="s">
        <v>9</v>
      </c>
      <c r="F65" s="13" t="s">
        <v>35</v>
      </c>
      <c r="G65" s="10" t="s">
        <v>117</v>
      </c>
      <c r="H65" s="91">
        <v>46153</v>
      </c>
      <c r="I65" s="13"/>
      <c r="J65" s="69"/>
      <c r="K65" s="13"/>
    </row>
    <row r="66" spans="2:11" ht="16">
      <c r="B66" s="28">
        <v>51</v>
      </c>
      <c r="C66" s="27" t="s">
        <v>151</v>
      </c>
      <c r="D66" s="60" t="s">
        <v>17</v>
      </c>
      <c r="E66" s="13" t="s">
        <v>9</v>
      </c>
      <c r="F66" s="13" t="s">
        <v>28</v>
      </c>
      <c r="G66" s="10" t="s">
        <v>114</v>
      </c>
      <c r="H66" s="91">
        <v>46156</v>
      </c>
      <c r="I66" s="91">
        <v>46157</v>
      </c>
      <c r="J66" s="69" t="s">
        <v>167</v>
      </c>
      <c r="K66" s="13"/>
    </row>
    <row r="67" spans="2:11" ht="64">
      <c r="B67" s="28">
        <v>52</v>
      </c>
      <c r="C67" s="27" t="s">
        <v>155</v>
      </c>
      <c r="D67" s="60" t="s">
        <v>40</v>
      </c>
      <c r="E67" s="13" t="s">
        <v>9</v>
      </c>
      <c r="F67" s="13" t="s">
        <v>28</v>
      </c>
      <c r="G67" s="10" t="s">
        <v>114</v>
      </c>
      <c r="H67" s="91">
        <v>46158</v>
      </c>
      <c r="I67" s="13"/>
      <c r="J67" s="69"/>
      <c r="K67" s="13" t="s">
        <v>152</v>
      </c>
    </row>
    <row r="68" spans="2:11" ht="32">
      <c r="B68" s="28">
        <v>53</v>
      </c>
      <c r="C68" s="26" t="s">
        <v>153</v>
      </c>
      <c r="D68" s="60" t="s">
        <v>40</v>
      </c>
      <c r="E68" s="13" t="s">
        <v>9</v>
      </c>
      <c r="F68" s="13" t="s">
        <v>28</v>
      </c>
      <c r="G68" s="10" t="s">
        <v>143</v>
      </c>
      <c r="H68" s="91">
        <v>46158</v>
      </c>
      <c r="I68" s="13"/>
      <c r="J68" s="69"/>
      <c r="K68" s="13" t="s">
        <v>154</v>
      </c>
    </row>
    <row r="69" spans="2:11" ht="26">
      <c r="B69" s="28">
        <v>54</v>
      </c>
      <c r="C69" s="26" t="s">
        <v>170</v>
      </c>
      <c r="D69" s="60" t="s">
        <v>17</v>
      </c>
      <c r="E69" s="13" t="s">
        <v>9</v>
      </c>
      <c r="F69" s="13" t="s">
        <v>30</v>
      </c>
      <c r="G69" s="10" t="s">
        <v>160</v>
      </c>
      <c r="H69" s="91">
        <v>46163</v>
      </c>
      <c r="I69" s="91">
        <v>46198</v>
      </c>
      <c r="J69" s="69"/>
      <c r="K69" s="13"/>
    </row>
    <row r="70" spans="2:11" ht="16">
      <c r="B70" s="28">
        <v>55</v>
      </c>
      <c r="C70" s="26" t="s">
        <v>156</v>
      </c>
      <c r="D70" s="60" t="s">
        <v>6</v>
      </c>
      <c r="E70" s="13" t="s">
        <v>8</v>
      </c>
      <c r="F70" s="13" t="s">
        <v>28</v>
      </c>
      <c r="G70" s="10" t="s">
        <v>125</v>
      </c>
      <c r="H70" s="91">
        <v>46165</v>
      </c>
      <c r="I70" s="13"/>
      <c r="J70" s="69"/>
      <c r="K70" s="13"/>
    </row>
    <row r="71" spans="2:11" ht="78">
      <c r="B71" s="28">
        <v>56</v>
      </c>
      <c r="C71" s="26" t="s">
        <v>157</v>
      </c>
      <c r="D71" s="60" t="s">
        <v>17</v>
      </c>
      <c r="E71" s="13" t="s">
        <v>8</v>
      </c>
      <c r="F71" s="13" t="s">
        <v>31</v>
      </c>
      <c r="G71" s="10" t="s">
        <v>121</v>
      </c>
      <c r="H71" s="91">
        <v>46167</v>
      </c>
      <c r="I71" s="91">
        <v>46189</v>
      </c>
      <c r="J71" s="69" t="s">
        <v>168</v>
      </c>
      <c r="K71" s="13"/>
    </row>
    <row r="72" spans="2:11" ht="93">
      <c r="B72" s="28">
        <v>57</v>
      </c>
      <c r="C72" s="26" t="s">
        <v>158</v>
      </c>
      <c r="D72" s="60" t="s">
        <v>6</v>
      </c>
      <c r="E72" s="13" t="s">
        <v>8</v>
      </c>
      <c r="F72" s="13" t="s">
        <v>31</v>
      </c>
      <c r="G72" s="10" t="s">
        <v>121</v>
      </c>
      <c r="H72" s="91">
        <v>46167</v>
      </c>
      <c r="I72" s="13"/>
      <c r="J72" s="69"/>
      <c r="K72" s="13"/>
    </row>
    <row r="73" spans="2:11" ht="39">
      <c r="B73" s="28">
        <v>58</v>
      </c>
      <c r="C73" s="26" t="s">
        <v>159</v>
      </c>
      <c r="D73" s="60" t="s">
        <v>6</v>
      </c>
      <c r="E73" s="13" t="s">
        <v>8</v>
      </c>
      <c r="F73" s="13" t="s">
        <v>31</v>
      </c>
      <c r="G73" s="10" t="s">
        <v>121</v>
      </c>
      <c r="H73" s="91">
        <v>46167</v>
      </c>
      <c r="I73" s="91"/>
      <c r="J73" s="69"/>
      <c r="K73" s="13"/>
    </row>
    <row r="74" spans="2:11" ht="26">
      <c r="B74" s="28">
        <v>59</v>
      </c>
      <c r="C74" s="26" t="s">
        <v>162</v>
      </c>
      <c r="D74" s="60" t="s">
        <v>6</v>
      </c>
      <c r="E74" s="13" t="s">
        <v>8</v>
      </c>
      <c r="F74" s="13" t="s">
        <v>27</v>
      </c>
      <c r="G74" s="10" t="s">
        <v>124</v>
      </c>
      <c r="H74" s="91">
        <v>46171</v>
      </c>
      <c r="I74" s="96"/>
      <c r="J74" s="69"/>
      <c r="K74" s="13"/>
    </row>
    <row r="75" spans="2:11" ht="16">
      <c r="B75" s="28">
        <v>60</v>
      </c>
      <c r="C75" s="26" t="s">
        <v>161</v>
      </c>
      <c r="D75" s="60" t="s">
        <v>17</v>
      </c>
      <c r="E75" s="13" t="s">
        <v>8</v>
      </c>
      <c r="F75" s="13" t="s">
        <v>28</v>
      </c>
      <c r="G75" s="10" t="s">
        <v>114</v>
      </c>
      <c r="H75" s="91">
        <v>46174</v>
      </c>
      <c r="I75" s="91">
        <v>46174</v>
      </c>
      <c r="J75" s="69" t="s">
        <v>168</v>
      </c>
      <c r="K75" s="13"/>
    </row>
    <row r="76" spans="2:11" ht="26">
      <c r="B76" s="28">
        <v>61</v>
      </c>
      <c r="C76" s="26" t="s">
        <v>163</v>
      </c>
      <c r="D76" s="60" t="s">
        <v>17</v>
      </c>
      <c r="E76" s="13" t="s">
        <v>9</v>
      </c>
      <c r="F76" s="13" t="s">
        <v>28</v>
      </c>
      <c r="G76" s="10" t="s">
        <v>114</v>
      </c>
      <c r="H76" s="91">
        <v>46174</v>
      </c>
      <c r="I76" s="91">
        <v>46174</v>
      </c>
      <c r="J76" s="69" t="s">
        <v>168</v>
      </c>
      <c r="K76" s="13"/>
    </row>
    <row r="77" spans="2:11" ht="16">
      <c r="B77" s="28">
        <v>62</v>
      </c>
      <c r="C77" s="26" t="s">
        <v>164</v>
      </c>
      <c r="D77" s="60" t="s">
        <v>17</v>
      </c>
      <c r="E77" s="13" t="s">
        <v>8</v>
      </c>
      <c r="F77" s="13" t="s">
        <v>31</v>
      </c>
      <c r="G77" s="10" t="s">
        <v>121</v>
      </c>
      <c r="H77" s="91">
        <v>46174</v>
      </c>
      <c r="I77" s="91">
        <v>46181</v>
      </c>
      <c r="J77" s="69" t="s">
        <v>168</v>
      </c>
      <c r="K77" s="69"/>
    </row>
    <row r="78" spans="2:11" ht="16">
      <c r="B78" s="28">
        <v>63</v>
      </c>
      <c r="C78" s="33" t="s">
        <v>171</v>
      </c>
      <c r="D78" s="60" t="s">
        <v>17</v>
      </c>
      <c r="E78" s="13" t="s">
        <v>9</v>
      </c>
      <c r="F78" s="13" t="s">
        <v>27</v>
      </c>
      <c r="G78" s="10" t="s">
        <v>169</v>
      </c>
      <c r="H78" s="91">
        <v>46182</v>
      </c>
      <c r="I78" s="91">
        <v>46188</v>
      </c>
      <c r="J78" s="69" t="s">
        <v>168</v>
      </c>
      <c r="K78" s="13"/>
    </row>
    <row r="79" spans="2:11" ht="48">
      <c r="B79" s="28">
        <v>64</v>
      </c>
      <c r="C79" s="33" t="s">
        <v>172</v>
      </c>
      <c r="D79" s="60" t="s">
        <v>40</v>
      </c>
      <c r="E79" s="13" t="s">
        <v>9</v>
      </c>
      <c r="F79" s="13" t="s">
        <v>27</v>
      </c>
      <c r="G79" s="10" t="s">
        <v>124</v>
      </c>
      <c r="H79" s="91">
        <v>46195</v>
      </c>
      <c r="I79" s="91"/>
      <c r="J79" s="13"/>
      <c r="K79" s="13" t="s">
        <v>173</v>
      </c>
    </row>
    <row r="80" spans="2:11" ht="32">
      <c r="B80" s="28">
        <v>65</v>
      </c>
      <c r="C80" s="33" t="s">
        <v>174</v>
      </c>
      <c r="D80" s="60" t="s">
        <v>40</v>
      </c>
      <c r="E80" s="13" t="s">
        <v>9</v>
      </c>
      <c r="F80" s="13" t="s">
        <v>31</v>
      </c>
      <c r="G80" s="10" t="s">
        <v>121</v>
      </c>
      <c r="H80" s="91">
        <v>46207</v>
      </c>
      <c r="I80" s="13"/>
      <c r="J80" s="13"/>
      <c r="K80" s="13"/>
    </row>
    <row r="81" spans="2:11" ht="16">
      <c r="B81" s="28">
        <v>66</v>
      </c>
      <c r="C81" s="33" t="s">
        <v>176</v>
      </c>
      <c r="D81" s="60" t="s">
        <v>17</v>
      </c>
      <c r="E81" s="13" t="s">
        <v>18</v>
      </c>
      <c r="F81" s="13" t="s">
        <v>26</v>
      </c>
      <c r="G81" s="10" t="s">
        <v>113</v>
      </c>
      <c r="H81" s="91">
        <v>46217</v>
      </c>
      <c r="I81" s="91">
        <v>46218</v>
      </c>
      <c r="J81" s="69" t="s">
        <v>168</v>
      </c>
      <c r="K81" s="13"/>
    </row>
    <row r="82" spans="2:11" ht="16">
      <c r="B82" s="28">
        <v>67</v>
      </c>
      <c r="C82" s="98" t="s">
        <v>175</v>
      </c>
      <c r="D82" s="97" t="s">
        <v>17</v>
      </c>
      <c r="E82" s="13" t="s">
        <v>9</v>
      </c>
      <c r="F82" s="13" t="s">
        <v>30</v>
      </c>
      <c r="G82" s="10" t="s">
        <v>177</v>
      </c>
      <c r="H82" s="91">
        <v>46218</v>
      </c>
      <c r="I82" s="91">
        <v>46220</v>
      </c>
      <c r="J82" s="69" t="s">
        <v>168</v>
      </c>
      <c r="K82" s="13"/>
    </row>
    <row r="83" spans="2:11" ht="16">
      <c r="B83" s="28">
        <v>68</v>
      </c>
      <c r="C83" s="98" t="s">
        <v>178</v>
      </c>
      <c r="D83" s="97" t="s">
        <v>5</v>
      </c>
      <c r="E83" s="13" t="s">
        <v>8</v>
      </c>
      <c r="F83" s="13" t="s">
        <v>30</v>
      </c>
      <c r="G83" s="10" t="s">
        <v>177</v>
      </c>
      <c r="H83" s="91">
        <v>46218</v>
      </c>
      <c r="I83" s="91"/>
      <c r="J83" s="13"/>
      <c r="K83" s="13"/>
    </row>
    <row r="84" spans="2:11" ht="16">
      <c r="B84" s="28">
        <v>69</v>
      </c>
      <c r="C84" s="98" t="s">
        <v>179</v>
      </c>
      <c r="D84" s="97" t="s">
        <v>5</v>
      </c>
      <c r="E84" s="13" t="s">
        <v>8</v>
      </c>
      <c r="F84" s="13" t="s">
        <v>30</v>
      </c>
      <c r="G84" s="10" t="s">
        <v>177</v>
      </c>
      <c r="H84" s="91">
        <v>46218</v>
      </c>
      <c r="I84" s="91"/>
      <c r="J84" s="13"/>
      <c r="K84" s="13"/>
    </row>
    <row r="85" spans="2:11" ht="16">
      <c r="B85" s="28">
        <v>70</v>
      </c>
      <c r="C85" s="102" t="s">
        <v>180</v>
      </c>
      <c r="D85" s="97" t="s">
        <v>5</v>
      </c>
      <c r="E85" s="13" t="s">
        <v>8</v>
      </c>
      <c r="F85" s="13" t="s">
        <v>30</v>
      </c>
      <c r="G85" s="10" t="s">
        <v>177</v>
      </c>
      <c r="H85" s="91">
        <v>46218</v>
      </c>
      <c r="I85" s="91"/>
      <c r="J85" s="13"/>
      <c r="K85" s="13"/>
    </row>
    <row r="86" spans="2:11" ht="30">
      <c r="B86" s="28">
        <v>71</v>
      </c>
      <c r="C86" s="101" t="s">
        <v>181</v>
      </c>
      <c r="D86" s="97" t="s">
        <v>5</v>
      </c>
      <c r="E86" s="13" t="s">
        <v>8</v>
      </c>
      <c r="F86" s="13" t="s">
        <v>30</v>
      </c>
      <c r="G86" s="10" t="s">
        <v>177</v>
      </c>
      <c r="H86" s="91">
        <v>46218</v>
      </c>
      <c r="I86" s="91"/>
      <c r="J86" s="13"/>
      <c r="K86" s="13"/>
    </row>
    <row r="87" spans="2:11" ht="30">
      <c r="B87" s="28">
        <v>72</v>
      </c>
      <c r="C87" s="103" t="s">
        <v>182</v>
      </c>
      <c r="D87" s="97" t="s">
        <v>5</v>
      </c>
      <c r="E87" s="13" t="s">
        <v>8</v>
      </c>
      <c r="F87" s="13" t="s">
        <v>30</v>
      </c>
      <c r="G87" s="10" t="s">
        <v>177</v>
      </c>
      <c r="H87" s="91">
        <v>46218</v>
      </c>
      <c r="I87" s="91"/>
      <c r="J87" s="13"/>
      <c r="K87" s="13"/>
    </row>
    <row r="88" spans="2:11" ht="30">
      <c r="B88" s="28">
        <v>73</v>
      </c>
      <c r="C88" s="99" t="s">
        <v>183</v>
      </c>
      <c r="D88" s="97" t="s">
        <v>5</v>
      </c>
      <c r="E88" s="13" t="s">
        <v>8</v>
      </c>
      <c r="F88" s="13" t="s">
        <v>30</v>
      </c>
      <c r="G88" s="10" t="s">
        <v>177</v>
      </c>
      <c r="H88" s="91">
        <v>46218</v>
      </c>
      <c r="I88" s="91"/>
      <c r="J88" s="31"/>
      <c r="K88" s="31"/>
    </row>
    <row r="89" spans="2:11" ht="45">
      <c r="B89" s="28">
        <v>74</v>
      </c>
      <c r="C89" s="99" t="s">
        <v>184</v>
      </c>
      <c r="D89" s="97" t="s">
        <v>5</v>
      </c>
      <c r="E89" s="13" t="s">
        <v>8</v>
      </c>
      <c r="F89" s="13" t="s">
        <v>30</v>
      </c>
      <c r="G89" s="10" t="s">
        <v>177</v>
      </c>
      <c r="H89" s="91">
        <v>46218</v>
      </c>
      <c r="I89" s="91"/>
      <c r="J89" s="31"/>
      <c r="K89" s="31"/>
    </row>
    <row r="90" spans="2:11" ht="16">
      <c r="B90" s="28">
        <v>75</v>
      </c>
      <c r="C90" s="98" t="s">
        <v>185</v>
      </c>
      <c r="D90" s="97" t="s">
        <v>5</v>
      </c>
      <c r="E90" s="13" t="s">
        <v>8</v>
      </c>
      <c r="F90" s="13" t="s">
        <v>30</v>
      </c>
      <c r="G90" s="10" t="s">
        <v>177</v>
      </c>
      <c r="H90" s="91">
        <v>46218</v>
      </c>
      <c r="I90" s="91"/>
      <c r="J90" s="31"/>
      <c r="K90" s="31"/>
    </row>
    <row r="91" spans="2:11" ht="30">
      <c r="B91" s="28">
        <v>76</v>
      </c>
      <c r="C91" s="99" t="s">
        <v>186</v>
      </c>
      <c r="D91" s="97" t="s">
        <v>5</v>
      </c>
      <c r="E91" s="13" t="s">
        <v>8</v>
      </c>
      <c r="F91" s="13" t="s">
        <v>30</v>
      </c>
      <c r="G91" s="10" t="s">
        <v>177</v>
      </c>
      <c r="H91" s="91">
        <v>46218</v>
      </c>
      <c r="I91" s="91"/>
      <c r="J91" s="31"/>
      <c r="K91" s="31"/>
    </row>
    <row r="92" spans="2:11" ht="16">
      <c r="B92" s="28">
        <v>77</v>
      </c>
      <c r="C92" s="100" t="s">
        <v>187</v>
      </c>
      <c r="D92" s="97" t="s">
        <v>5</v>
      </c>
      <c r="E92" s="13" t="s">
        <v>8</v>
      </c>
      <c r="F92" s="13" t="s">
        <v>30</v>
      </c>
      <c r="G92" s="10" t="s">
        <v>177</v>
      </c>
      <c r="H92" s="91">
        <v>46218</v>
      </c>
      <c r="I92" s="91"/>
      <c r="J92" s="31"/>
      <c r="K92" s="31"/>
    </row>
    <row r="93" spans="2:11" ht="16">
      <c r="B93" s="28">
        <v>78</v>
      </c>
      <c r="C93" s="100" t="s">
        <v>188</v>
      </c>
      <c r="D93" s="97" t="s">
        <v>5</v>
      </c>
      <c r="E93" s="13" t="s">
        <v>8</v>
      </c>
      <c r="F93" s="13" t="s">
        <v>30</v>
      </c>
      <c r="G93" s="10" t="s">
        <v>177</v>
      </c>
      <c r="H93" s="91">
        <v>46218</v>
      </c>
      <c r="I93" s="91"/>
      <c r="J93" s="31"/>
      <c r="K93" s="31"/>
    </row>
    <row r="94" spans="2:11" ht="16">
      <c r="B94" s="28">
        <v>79</v>
      </c>
      <c r="C94" s="105" t="s">
        <v>191</v>
      </c>
      <c r="D94" s="97" t="s">
        <v>17</v>
      </c>
      <c r="E94" s="13" t="s">
        <v>9</v>
      </c>
      <c r="F94" s="13" t="s">
        <v>28</v>
      </c>
      <c r="G94" s="104" t="s">
        <v>117</v>
      </c>
      <c r="H94" s="91">
        <v>46234</v>
      </c>
      <c r="I94" s="91">
        <v>46240</v>
      </c>
      <c r="J94" s="31"/>
      <c r="K94" s="31"/>
    </row>
    <row r="95" spans="2:11" ht="16">
      <c r="B95" s="28">
        <v>80</v>
      </c>
      <c r="C95" s="106" t="s">
        <v>202</v>
      </c>
      <c r="D95" s="97" t="s">
        <v>6</v>
      </c>
      <c r="E95" s="13" t="s">
        <v>9</v>
      </c>
      <c r="F95" s="13" t="s">
        <v>58</v>
      </c>
      <c r="G95" s="104" t="s">
        <v>124</v>
      </c>
      <c r="H95" s="91">
        <v>46235</v>
      </c>
      <c r="I95" s="91"/>
      <c r="J95" s="31"/>
      <c r="K95" s="31"/>
    </row>
    <row r="96" spans="2:11" ht="16">
      <c r="B96" s="28">
        <v>81</v>
      </c>
      <c r="C96" s="29" t="s">
        <v>190</v>
      </c>
      <c r="D96" s="97" t="s">
        <v>17</v>
      </c>
      <c r="E96" s="13" t="s">
        <v>9</v>
      </c>
      <c r="F96" s="13" t="s">
        <v>31</v>
      </c>
      <c r="G96" s="31" t="s">
        <v>121</v>
      </c>
      <c r="H96" s="91">
        <v>46237</v>
      </c>
      <c r="I96" s="91">
        <v>46239</v>
      </c>
      <c r="J96" s="31"/>
      <c r="K96" s="31"/>
    </row>
    <row r="97" spans="2:11" ht="16">
      <c r="B97" s="28">
        <v>82</v>
      </c>
      <c r="C97" s="29" t="s">
        <v>192</v>
      </c>
      <c r="D97" s="97" t="s">
        <v>17</v>
      </c>
      <c r="E97" s="13" t="s">
        <v>8</v>
      </c>
      <c r="F97" s="13" t="s">
        <v>31</v>
      </c>
      <c r="G97" s="31" t="s">
        <v>121</v>
      </c>
      <c r="H97" s="91">
        <v>46239</v>
      </c>
      <c r="I97" s="91">
        <v>46267</v>
      </c>
      <c r="J97" s="31"/>
      <c r="K97" s="31"/>
    </row>
    <row r="98" spans="2:11" ht="38">
      <c r="B98" s="28">
        <v>83</v>
      </c>
      <c r="C98" s="29" t="s">
        <v>193</v>
      </c>
      <c r="D98" s="97" t="s">
        <v>40</v>
      </c>
      <c r="E98" s="13" t="s">
        <v>8</v>
      </c>
      <c r="F98" s="13" t="s">
        <v>31</v>
      </c>
      <c r="G98" s="31" t="s">
        <v>121</v>
      </c>
      <c r="H98" s="91">
        <v>46239</v>
      </c>
      <c r="I98" s="91"/>
      <c r="J98" s="31"/>
      <c r="K98" s="31" t="s">
        <v>201</v>
      </c>
    </row>
    <row r="99" spans="2:11" ht="26">
      <c r="B99" s="28">
        <v>84</v>
      </c>
      <c r="C99" s="26" t="s">
        <v>194</v>
      </c>
      <c r="D99" s="97" t="s">
        <v>6</v>
      </c>
      <c r="E99" s="13" t="s">
        <v>9</v>
      </c>
      <c r="F99" s="13" t="s">
        <v>27</v>
      </c>
      <c r="G99" s="31" t="s">
        <v>117</v>
      </c>
      <c r="H99" s="91">
        <v>46252</v>
      </c>
      <c r="I99" s="91"/>
      <c r="J99" s="31"/>
      <c r="K99" s="31"/>
    </row>
    <row r="100" spans="2:11" ht="16">
      <c r="B100" s="28">
        <v>85</v>
      </c>
      <c r="C100" s="98" t="s">
        <v>195</v>
      </c>
      <c r="D100" s="97" t="s">
        <v>17</v>
      </c>
      <c r="E100" s="13" t="s">
        <v>18</v>
      </c>
      <c r="F100" s="13" t="s">
        <v>26</v>
      </c>
      <c r="G100" s="31" t="s">
        <v>113</v>
      </c>
      <c r="H100" s="91">
        <v>46253</v>
      </c>
      <c r="I100" s="91">
        <v>46254</v>
      </c>
      <c r="J100" s="31"/>
      <c r="K100" s="31"/>
    </row>
    <row r="101" spans="2:11" ht="39">
      <c r="B101" s="28">
        <v>86</v>
      </c>
      <c r="C101" s="26" t="s">
        <v>196</v>
      </c>
      <c r="D101" s="97" t="s">
        <v>6</v>
      </c>
      <c r="E101" s="13" t="s">
        <v>9</v>
      </c>
      <c r="F101" s="13" t="s">
        <v>26</v>
      </c>
      <c r="G101" s="31" t="s">
        <v>198</v>
      </c>
      <c r="H101" s="91">
        <v>46254</v>
      </c>
      <c r="I101" s="91"/>
      <c r="J101" s="31"/>
      <c r="K101" s="31"/>
    </row>
    <row r="102" spans="2:11" ht="16">
      <c r="B102" s="28">
        <v>87</v>
      </c>
      <c r="C102" s="29" t="s">
        <v>197</v>
      </c>
      <c r="D102" s="97" t="s">
        <v>17</v>
      </c>
      <c r="E102" s="13" t="s">
        <v>9</v>
      </c>
      <c r="F102" s="13" t="s">
        <v>58</v>
      </c>
      <c r="G102" s="31" t="s">
        <v>124</v>
      </c>
      <c r="H102" s="91">
        <v>46259</v>
      </c>
      <c r="I102" s="91">
        <v>46259</v>
      </c>
      <c r="J102" s="31"/>
      <c r="K102" s="31"/>
    </row>
    <row r="103" spans="2:11" ht="39">
      <c r="B103" s="28">
        <v>88</v>
      </c>
      <c r="C103" s="29" t="s">
        <v>199</v>
      </c>
      <c r="D103" s="97" t="s">
        <v>17</v>
      </c>
      <c r="E103" s="13" t="s">
        <v>9</v>
      </c>
      <c r="F103" s="13" t="s">
        <v>31</v>
      </c>
      <c r="G103" s="31" t="s">
        <v>121</v>
      </c>
      <c r="H103" s="91">
        <v>46261</v>
      </c>
      <c r="I103" s="91">
        <v>46267</v>
      </c>
      <c r="J103" s="31"/>
      <c r="K103" s="31"/>
    </row>
    <row r="104" spans="2:11" ht="26">
      <c r="B104" s="28">
        <v>89</v>
      </c>
      <c r="C104" s="29" t="s">
        <v>200</v>
      </c>
      <c r="D104" s="97" t="s">
        <v>6</v>
      </c>
      <c r="E104" s="13" t="s">
        <v>9</v>
      </c>
      <c r="F104" s="13" t="s">
        <v>28</v>
      </c>
      <c r="G104" s="31" t="s">
        <v>125</v>
      </c>
      <c r="H104" s="91">
        <v>46267</v>
      </c>
      <c r="I104" s="31"/>
      <c r="J104" s="31"/>
      <c r="K104" s="31"/>
    </row>
    <row r="105" spans="2:11" ht="26">
      <c r="B105" s="28">
        <v>90</v>
      </c>
      <c r="C105" s="29" t="s">
        <v>203</v>
      </c>
      <c r="D105" s="97" t="s">
        <v>17</v>
      </c>
      <c r="E105" s="13" t="s">
        <v>9</v>
      </c>
      <c r="F105" s="13" t="s">
        <v>31</v>
      </c>
      <c r="G105" s="31" t="s">
        <v>121</v>
      </c>
      <c r="H105" s="91">
        <v>46272</v>
      </c>
      <c r="I105" s="91">
        <v>46281</v>
      </c>
      <c r="J105" s="31"/>
      <c r="K105" s="31"/>
    </row>
    <row r="106" spans="2:11" ht="16">
      <c r="B106" s="28">
        <v>91</v>
      </c>
      <c r="C106" s="29" t="s">
        <v>204</v>
      </c>
      <c r="D106" s="97" t="s">
        <v>17</v>
      </c>
      <c r="E106" s="13" t="s">
        <v>9</v>
      </c>
      <c r="F106" s="13" t="s">
        <v>31</v>
      </c>
      <c r="G106" s="31" t="s">
        <v>121</v>
      </c>
      <c r="H106" s="91">
        <v>46280</v>
      </c>
      <c r="I106" s="91">
        <v>46281</v>
      </c>
      <c r="J106" s="31"/>
      <c r="K106" s="31"/>
    </row>
    <row r="107" spans="2:11" ht="26">
      <c r="B107" s="28">
        <v>92</v>
      </c>
      <c r="C107" s="29" t="s">
        <v>205</v>
      </c>
      <c r="D107" s="97" t="s">
        <v>17</v>
      </c>
      <c r="E107" s="13" t="s">
        <v>9</v>
      </c>
      <c r="F107" s="13" t="s">
        <v>31</v>
      </c>
      <c r="G107" s="31" t="s">
        <v>121</v>
      </c>
      <c r="H107" s="91">
        <v>46280</v>
      </c>
      <c r="I107" s="91">
        <v>46281</v>
      </c>
      <c r="J107" s="31"/>
      <c r="K107" s="31"/>
    </row>
    <row r="108" spans="2:11" ht="26">
      <c r="B108" s="107">
        <v>93</v>
      </c>
      <c r="C108" s="29" t="s">
        <v>206</v>
      </c>
      <c r="D108" s="97" t="s">
        <v>17</v>
      </c>
      <c r="E108" s="13" t="s">
        <v>9</v>
      </c>
      <c r="F108" s="13" t="s">
        <v>31</v>
      </c>
      <c r="G108" s="31" t="s">
        <v>121</v>
      </c>
      <c r="H108" s="91">
        <v>46282</v>
      </c>
      <c r="I108" s="91">
        <v>46282</v>
      </c>
      <c r="J108" s="31"/>
      <c r="K108" s="31"/>
    </row>
    <row r="109" spans="2:11" ht="32">
      <c r="B109" s="107">
        <v>94</v>
      </c>
      <c r="C109" s="29" t="s">
        <v>209</v>
      </c>
      <c r="D109" s="97" t="s">
        <v>6</v>
      </c>
      <c r="E109" s="13" t="s">
        <v>9</v>
      </c>
      <c r="F109" s="13" t="s">
        <v>34</v>
      </c>
      <c r="G109" s="31" t="s">
        <v>210</v>
      </c>
      <c r="H109" s="91">
        <v>46282</v>
      </c>
      <c r="I109" s="91"/>
      <c r="J109" s="31"/>
      <c r="K109" s="31"/>
    </row>
    <row r="110" spans="2:11" ht="32">
      <c r="B110" s="107">
        <v>95</v>
      </c>
      <c r="C110" s="29" t="s">
        <v>207</v>
      </c>
      <c r="D110" s="97" t="s">
        <v>17</v>
      </c>
      <c r="E110" s="13" t="s">
        <v>9</v>
      </c>
      <c r="F110" s="13" t="s">
        <v>33</v>
      </c>
      <c r="G110" s="31" t="s">
        <v>128</v>
      </c>
      <c r="H110" s="91">
        <v>46283</v>
      </c>
      <c r="I110" s="91">
        <v>46287</v>
      </c>
      <c r="J110" s="31"/>
      <c r="K110" s="31"/>
    </row>
    <row r="111" spans="2:11" ht="32">
      <c r="B111" s="107">
        <v>96</v>
      </c>
      <c r="C111" s="29" t="s">
        <v>208</v>
      </c>
      <c r="D111" s="97" t="s">
        <v>17</v>
      </c>
      <c r="E111" s="13" t="s">
        <v>9</v>
      </c>
      <c r="F111" s="13" t="s">
        <v>33</v>
      </c>
      <c r="G111" s="31" t="s">
        <v>169</v>
      </c>
      <c r="H111" s="91">
        <v>46286</v>
      </c>
      <c r="I111" s="91">
        <v>46287</v>
      </c>
      <c r="J111" s="31"/>
      <c r="K111" s="31"/>
    </row>
    <row r="112" spans="2:11" ht="32">
      <c r="B112" s="107">
        <v>97</v>
      </c>
      <c r="C112" s="29" t="s">
        <v>211</v>
      </c>
      <c r="D112" s="97" t="s">
        <v>40</v>
      </c>
      <c r="E112" s="13" t="s">
        <v>9</v>
      </c>
      <c r="F112" s="13" t="s">
        <v>33</v>
      </c>
      <c r="G112" s="31" t="s">
        <v>128</v>
      </c>
      <c r="H112" s="91">
        <v>46301</v>
      </c>
      <c r="I112" s="31"/>
      <c r="J112" s="31"/>
      <c r="K112" s="31"/>
    </row>
    <row r="113" spans="2:11" ht="16">
      <c r="B113" s="107">
        <v>98</v>
      </c>
      <c r="C113" s="29" t="s">
        <v>212</v>
      </c>
      <c r="D113" s="97" t="s">
        <v>5</v>
      </c>
      <c r="E113" s="13" t="s">
        <v>8</v>
      </c>
      <c r="F113" s="13" t="s">
        <v>28</v>
      </c>
      <c r="G113" s="31" t="s">
        <v>115</v>
      </c>
      <c r="H113" s="91">
        <v>46303</v>
      </c>
      <c r="I113" s="31"/>
      <c r="J113" s="31"/>
      <c r="K113" s="31"/>
    </row>
    <row r="114" spans="2:11" ht="13">
      <c r="B114" s="28"/>
      <c r="C114" s="29"/>
      <c r="D114" s="31"/>
      <c r="E114" s="31"/>
      <c r="F114" s="95"/>
      <c r="G114" s="31"/>
      <c r="H114" s="31"/>
      <c r="I114" s="31"/>
      <c r="J114" s="31"/>
      <c r="K114" s="31"/>
    </row>
    <row r="115" spans="2:11" ht="13">
      <c r="B115" s="28"/>
      <c r="C115" s="29"/>
      <c r="D115" s="31"/>
      <c r="E115" s="31"/>
      <c r="F115" s="95"/>
      <c r="G115" s="31"/>
      <c r="H115" s="31"/>
      <c r="I115" s="31"/>
      <c r="J115" s="31"/>
      <c r="K115" s="31"/>
    </row>
    <row r="116" spans="2:11" ht="13">
      <c r="B116" s="28"/>
      <c r="C116" s="29"/>
      <c r="D116" s="31"/>
      <c r="E116" s="31"/>
      <c r="F116" s="95"/>
      <c r="G116" s="31"/>
      <c r="H116" s="31"/>
      <c r="I116" s="31"/>
      <c r="J116" s="31"/>
      <c r="K116" s="31"/>
    </row>
    <row r="117" spans="2:11" ht="13">
      <c r="B117" s="28"/>
      <c r="C117" s="29"/>
      <c r="D117" s="31"/>
      <c r="E117" s="31"/>
      <c r="F117" s="95"/>
      <c r="G117" s="31"/>
      <c r="H117" s="31"/>
      <c r="I117" s="31"/>
      <c r="J117" s="31"/>
      <c r="K117" s="31"/>
    </row>
    <row r="118" spans="2:11" ht="13">
      <c r="B118" s="28"/>
      <c r="C118" s="29"/>
      <c r="D118" s="31"/>
      <c r="E118" s="31"/>
      <c r="F118" s="95"/>
      <c r="G118" s="31"/>
      <c r="H118" s="31"/>
      <c r="I118" s="31"/>
      <c r="J118" s="31"/>
      <c r="K118" s="31"/>
    </row>
    <row r="119" spans="2:11" ht="13">
      <c r="B119" s="28"/>
      <c r="C119" s="29"/>
      <c r="D119" s="31"/>
      <c r="E119" s="31"/>
      <c r="F119" s="95"/>
      <c r="G119" s="31"/>
      <c r="H119" s="31"/>
      <c r="I119" s="31"/>
      <c r="J119" s="31"/>
      <c r="K119" s="31"/>
    </row>
    <row r="120" spans="2:11" ht="13">
      <c r="B120" s="28"/>
      <c r="C120" s="29"/>
      <c r="D120" s="31"/>
      <c r="E120" s="31"/>
      <c r="F120" s="95"/>
      <c r="G120" s="31"/>
      <c r="H120" s="31"/>
      <c r="I120" s="31"/>
      <c r="J120" s="31"/>
      <c r="K120" s="31"/>
    </row>
    <row r="121" spans="2:11" ht="13">
      <c r="B121" s="28"/>
      <c r="C121" s="29"/>
      <c r="D121" s="31"/>
      <c r="E121" s="31"/>
      <c r="F121" s="95"/>
      <c r="G121" s="31"/>
      <c r="H121" s="31"/>
      <c r="I121" s="31"/>
      <c r="J121" s="31"/>
      <c r="K121" s="31"/>
    </row>
    <row r="122" spans="2:11" ht="13">
      <c r="B122" s="28"/>
      <c r="C122" s="29"/>
      <c r="D122" s="31"/>
      <c r="E122" s="31"/>
      <c r="F122" s="95"/>
      <c r="G122" s="31"/>
      <c r="H122" s="31"/>
      <c r="I122" s="31"/>
      <c r="J122" s="31"/>
      <c r="K122" s="31"/>
    </row>
    <row r="123" spans="2:11" ht="13">
      <c r="B123" s="28"/>
      <c r="C123" s="29"/>
      <c r="D123" s="31"/>
      <c r="E123" s="31"/>
      <c r="F123" s="95"/>
      <c r="G123" s="31"/>
      <c r="H123" s="31"/>
      <c r="I123" s="31"/>
      <c r="J123" s="31"/>
      <c r="K123" s="31"/>
    </row>
    <row r="124" spans="2:11" ht="13">
      <c r="B124" s="28"/>
      <c r="C124" s="29"/>
      <c r="D124" s="31"/>
      <c r="E124" s="31"/>
      <c r="F124" s="95"/>
      <c r="G124" s="31"/>
      <c r="H124" s="31"/>
      <c r="I124" s="31"/>
      <c r="J124" s="31"/>
      <c r="K124" s="31"/>
    </row>
    <row r="125" spans="2:11" ht="13">
      <c r="B125" s="28"/>
      <c r="C125" s="29"/>
      <c r="D125" s="31"/>
      <c r="E125" s="31"/>
      <c r="F125" s="95"/>
      <c r="G125" s="31"/>
      <c r="H125" s="31"/>
      <c r="I125" s="31"/>
      <c r="J125" s="31"/>
      <c r="K125" s="31"/>
    </row>
    <row r="126" spans="2:11" ht="13">
      <c r="B126" s="28"/>
      <c r="C126" s="29"/>
      <c r="D126" s="31"/>
      <c r="E126" s="31"/>
      <c r="F126" s="95"/>
      <c r="G126" s="31"/>
      <c r="H126" s="31"/>
      <c r="I126" s="31"/>
      <c r="J126" s="31"/>
      <c r="K126" s="31"/>
    </row>
    <row r="127" spans="2:11" ht="13">
      <c r="B127" s="28"/>
      <c r="C127" s="29"/>
      <c r="D127" s="31"/>
      <c r="E127" s="31"/>
      <c r="F127" s="95"/>
      <c r="G127" s="31"/>
      <c r="H127" s="31"/>
      <c r="I127" s="31"/>
      <c r="J127" s="31"/>
      <c r="K127" s="31"/>
    </row>
    <row r="128" spans="2:11" ht="13">
      <c r="B128" s="28"/>
      <c r="C128" s="29"/>
      <c r="D128" s="31"/>
      <c r="E128" s="31"/>
      <c r="F128" s="95"/>
      <c r="G128" s="31"/>
      <c r="H128" s="31"/>
      <c r="I128" s="31"/>
      <c r="J128" s="31"/>
      <c r="K128" s="31"/>
    </row>
    <row r="129" spans="2:11" ht="13">
      <c r="B129" s="28"/>
      <c r="C129" s="29"/>
      <c r="D129" s="31"/>
      <c r="E129" s="31"/>
      <c r="F129" s="95"/>
      <c r="G129" s="31"/>
      <c r="H129" s="31"/>
      <c r="I129" s="31"/>
      <c r="J129" s="31"/>
      <c r="K129" s="31"/>
    </row>
    <row r="130" spans="2:11" ht="13">
      <c r="B130" s="28"/>
      <c r="C130" s="29"/>
      <c r="D130" s="31"/>
      <c r="E130" s="31"/>
      <c r="F130" s="95"/>
      <c r="G130" s="31"/>
      <c r="H130" s="31"/>
      <c r="I130" s="31"/>
      <c r="J130" s="31"/>
      <c r="K130" s="31"/>
    </row>
    <row r="131" spans="2:11" ht="13">
      <c r="B131" s="28"/>
      <c r="C131" s="29"/>
      <c r="D131" s="31"/>
      <c r="E131" s="31"/>
      <c r="F131" s="95"/>
      <c r="G131" s="31"/>
      <c r="H131" s="31"/>
      <c r="I131" s="31"/>
      <c r="J131" s="31"/>
      <c r="K131" s="31"/>
    </row>
    <row r="132" spans="2:11" ht="13">
      <c r="B132" s="28"/>
      <c r="C132" s="29"/>
      <c r="D132" s="31"/>
      <c r="E132" s="31"/>
      <c r="F132" s="95"/>
      <c r="G132" s="31"/>
      <c r="H132" s="31"/>
      <c r="I132" s="31"/>
      <c r="J132" s="31"/>
      <c r="K132" s="31"/>
    </row>
    <row r="133" spans="2:11" ht="13">
      <c r="B133" s="28"/>
      <c r="C133" s="29"/>
      <c r="D133" s="31"/>
      <c r="E133" s="31"/>
      <c r="F133" s="95"/>
      <c r="G133" s="31"/>
      <c r="H133" s="31"/>
      <c r="I133" s="31"/>
      <c r="J133" s="31"/>
      <c r="K133" s="31"/>
    </row>
    <row r="134" spans="2:11" ht="13">
      <c r="B134" s="28"/>
      <c r="C134" s="29"/>
      <c r="D134" s="31"/>
      <c r="E134" s="31"/>
      <c r="F134" s="95"/>
      <c r="G134" s="31"/>
      <c r="H134" s="31"/>
      <c r="I134" s="31"/>
      <c r="J134" s="31"/>
      <c r="K134" s="31"/>
    </row>
    <row r="135" spans="2:11" ht="13">
      <c r="B135" s="28"/>
      <c r="C135" s="29"/>
      <c r="D135" s="31"/>
      <c r="E135" s="31"/>
      <c r="F135" s="95"/>
      <c r="G135" s="31"/>
      <c r="H135" s="31"/>
      <c r="I135" s="31"/>
      <c r="J135" s="31"/>
      <c r="K135" s="31"/>
    </row>
    <row r="136" spans="2:11" ht="13">
      <c r="B136" s="28"/>
      <c r="C136" s="29"/>
      <c r="D136" s="31"/>
      <c r="E136" s="31"/>
      <c r="F136" s="95"/>
      <c r="G136" s="31"/>
      <c r="H136" s="31"/>
      <c r="I136" s="31"/>
      <c r="J136" s="31"/>
      <c r="K136" s="31"/>
    </row>
    <row r="137" spans="2:11" ht="13">
      <c r="B137" s="28"/>
      <c r="C137" s="29"/>
      <c r="D137" s="31"/>
      <c r="E137" s="31"/>
      <c r="F137" s="95"/>
      <c r="G137" s="31"/>
      <c r="H137" s="31"/>
      <c r="I137" s="31"/>
      <c r="J137" s="31"/>
      <c r="K137" s="31"/>
    </row>
    <row r="138" spans="2:11" ht="13">
      <c r="B138" s="28"/>
      <c r="C138" s="29"/>
      <c r="D138" s="31"/>
      <c r="E138" s="31"/>
      <c r="F138" s="95"/>
      <c r="G138" s="31"/>
      <c r="H138" s="31"/>
      <c r="I138" s="31"/>
      <c r="J138" s="31"/>
      <c r="K138" s="31"/>
    </row>
    <row r="139" spans="2:11" ht="13">
      <c r="B139" s="28"/>
      <c r="C139" s="29"/>
      <c r="D139" s="31"/>
      <c r="E139" s="31"/>
      <c r="F139" s="95"/>
      <c r="G139" s="31"/>
      <c r="H139" s="31"/>
      <c r="I139" s="31"/>
      <c r="J139" s="31"/>
      <c r="K139" s="31"/>
    </row>
    <row r="140" spans="2:11" ht="13">
      <c r="B140" s="28"/>
      <c r="C140" s="29"/>
      <c r="D140" s="31"/>
      <c r="E140" s="31"/>
      <c r="F140" s="95"/>
      <c r="G140" s="31"/>
      <c r="H140" s="31"/>
      <c r="I140" s="31"/>
      <c r="J140" s="31"/>
      <c r="K140" s="31"/>
    </row>
    <row r="141" spans="2:11" ht="13">
      <c r="B141" s="28"/>
      <c r="C141" s="29"/>
      <c r="D141" s="31"/>
      <c r="E141" s="31"/>
      <c r="F141" s="95"/>
      <c r="G141" s="31"/>
      <c r="H141" s="31"/>
      <c r="I141" s="31"/>
      <c r="J141" s="31"/>
      <c r="K141" s="31"/>
    </row>
    <row r="142" spans="2:11" ht="13">
      <c r="B142" s="28"/>
      <c r="C142" s="29"/>
      <c r="D142" s="31"/>
      <c r="E142" s="31"/>
      <c r="F142" s="95"/>
      <c r="G142" s="31"/>
      <c r="H142" s="31"/>
      <c r="I142" s="31"/>
      <c r="J142" s="31"/>
      <c r="K142" s="31"/>
    </row>
    <row r="143" spans="2:11" ht="13">
      <c r="B143" s="28"/>
      <c r="C143" s="29"/>
      <c r="D143" s="31"/>
      <c r="E143" s="31"/>
      <c r="F143" s="95"/>
      <c r="G143" s="31"/>
      <c r="H143" s="31"/>
      <c r="I143" s="31"/>
      <c r="J143" s="31"/>
      <c r="K143" s="31"/>
    </row>
    <row r="144" spans="2:11" ht="13">
      <c r="B144" s="28"/>
      <c r="C144" s="29"/>
      <c r="D144" s="31"/>
      <c r="E144" s="31"/>
      <c r="F144" s="95"/>
      <c r="G144" s="31"/>
      <c r="H144" s="31"/>
      <c r="I144" s="31"/>
      <c r="J144" s="31"/>
      <c r="K144" s="31"/>
    </row>
    <row r="145" spans="2:11" ht="13">
      <c r="B145" s="28"/>
      <c r="C145" s="29"/>
      <c r="D145" s="31"/>
      <c r="E145" s="31"/>
      <c r="F145" s="95"/>
      <c r="G145" s="31"/>
      <c r="H145" s="31"/>
      <c r="I145" s="31"/>
      <c r="J145" s="31"/>
      <c r="K145" s="31"/>
    </row>
    <row r="146" spans="2:11" ht="13">
      <c r="B146" s="28"/>
      <c r="C146" s="29"/>
      <c r="D146" s="31"/>
      <c r="E146" s="31"/>
      <c r="F146" s="95"/>
      <c r="G146" s="31"/>
      <c r="H146" s="31"/>
      <c r="I146" s="31"/>
      <c r="J146" s="31"/>
      <c r="K146" s="31"/>
    </row>
    <row r="147" spans="2:11" ht="13">
      <c r="B147" s="28"/>
      <c r="C147" s="29"/>
      <c r="D147" s="31"/>
      <c r="E147" s="31"/>
      <c r="F147" s="95"/>
      <c r="G147" s="31"/>
      <c r="H147" s="31"/>
      <c r="I147" s="31"/>
      <c r="J147" s="31"/>
      <c r="K147" s="31"/>
    </row>
    <row r="148" spans="2:11" ht="13">
      <c r="B148" s="28"/>
      <c r="C148" s="29"/>
      <c r="D148" s="31"/>
      <c r="E148" s="31"/>
      <c r="F148" s="95"/>
      <c r="G148" s="31"/>
      <c r="H148" s="31"/>
      <c r="I148" s="31"/>
      <c r="J148" s="31"/>
      <c r="K148" s="31"/>
    </row>
    <row r="149" spans="2:11" ht="13">
      <c r="B149" s="28"/>
      <c r="C149" s="29"/>
      <c r="D149" s="31"/>
      <c r="E149" s="31"/>
      <c r="F149" s="95"/>
      <c r="G149" s="31"/>
      <c r="H149" s="31"/>
      <c r="I149" s="31"/>
      <c r="J149" s="31"/>
      <c r="K149" s="31"/>
    </row>
    <row r="150" spans="2:11" ht="13">
      <c r="B150" s="28"/>
      <c r="C150" s="29"/>
      <c r="D150" s="31"/>
      <c r="E150" s="31"/>
      <c r="F150" s="95"/>
      <c r="G150" s="31"/>
      <c r="H150" s="31"/>
      <c r="I150" s="31"/>
      <c r="J150" s="31"/>
      <c r="K150" s="31"/>
    </row>
    <row r="151" spans="2:11" ht="13">
      <c r="B151" s="28"/>
      <c r="C151" s="29"/>
      <c r="D151" s="31"/>
      <c r="E151" s="31"/>
      <c r="F151" s="95"/>
      <c r="G151" s="31"/>
      <c r="H151" s="31"/>
      <c r="I151" s="31"/>
      <c r="J151" s="31"/>
      <c r="K151" s="31"/>
    </row>
    <row r="152" spans="2:11" ht="13">
      <c r="B152" s="28"/>
      <c r="C152" s="29"/>
      <c r="D152" s="31"/>
      <c r="E152" s="31"/>
      <c r="F152" s="95"/>
      <c r="G152" s="31"/>
      <c r="H152" s="31"/>
      <c r="I152" s="31"/>
      <c r="J152" s="31"/>
      <c r="K152" s="31"/>
    </row>
    <row r="153" spans="2:11" ht="13">
      <c r="B153" s="28"/>
      <c r="C153" s="29"/>
      <c r="D153" s="31"/>
      <c r="E153" s="31"/>
      <c r="F153" s="95"/>
      <c r="G153" s="31"/>
      <c r="H153" s="31"/>
      <c r="I153" s="31"/>
      <c r="J153" s="31"/>
      <c r="K153" s="31"/>
    </row>
    <row r="154" spans="2:11" ht="13">
      <c r="B154" s="28"/>
      <c r="C154" s="29"/>
      <c r="D154" s="31"/>
      <c r="E154" s="31"/>
      <c r="F154" s="95"/>
      <c r="G154" s="31"/>
      <c r="H154" s="31"/>
      <c r="I154" s="31"/>
      <c r="J154" s="31"/>
      <c r="K154" s="31"/>
    </row>
    <row r="155" spans="2:11" ht="13">
      <c r="B155" s="28"/>
      <c r="C155" s="29"/>
      <c r="D155" s="31"/>
      <c r="E155" s="31"/>
      <c r="F155" s="95"/>
      <c r="G155" s="31"/>
      <c r="H155" s="31"/>
      <c r="I155" s="31"/>
      <c r="J155" s="31"/>
      <c r="K155" s="31"/>
    </row>
    <row r="156" spans="2:11" ht="13">
      <c r="B156" s="28"/>
      <c r="C156" s="29"/>
      <c r="D156" s="31"/>
      <c r="E156" s="31"/>
      <c r="F156" s="95"/>
      <c r="G156" s="31"/>
      <c r="H156" s="31"/>
      <c r="I156" s="31"/>
      <c r="J156" s="31"/>
      <c r="K156" s="31"/>
    </row>
    <row r="157" spans="2:11" ht="13">
      <c r="B157" s="28"/>
      <c r="C157" s="29"/>
      <c r="D157" s="31"/>
      <c r="E157" s="31"/>
      <c r="F157" s="95"/>
      <c r="G157" s="31"/>
      <c r="H157" s="31"/>
      <c r="I157" s="31"/>
      <c r="J157" s="31"/>
      <c r="K157" s="31"/>
    </row>
    <row r="158" spans="2:11" ht="13">
      <c r="B158" s="28"/>
      <c r="C158" s="29"/>
      <c r="D158" s="31"/>
      <c r="E158" s="31"/>
      <c r="F158" s="95"/>
      <c r="G158" s="31"/>
      <c r="H158" s="31"/>
      <c r="I158" s="31"/>
      <c r="J158" s="31"/>
      <c r="K158" s="31"/>
    </row>
    <row r="159" spans="2:11" ht="13">
      <c r="B159" s="28"/>
      <c r="C159" s="29"/>
      <c r="D159" s="31"/>
      <c r="E159" s="31"/>
      <c r="F159" s="95"/>
      <c r="G159" s="31"/>
      <c r="H159" s="31"/>
      <c r="I159" s="31"/>
      <c r="J159" s="31"/>
      <c r="K159" s="31"/>
    </row>
    <row r="160" spans="2:11" ht="13">
      <c r="B160" s="28"/>
      <c r="C160" s="29"/>
      <c r="D160" s="31"/>
      <c r="E160" s="31"/>
      <c r="F160" s="95"/>
      <c r="G160" s="31"/>
      <c r="H160" s="31"/>
      <c r="I160" s="31"/>
      <c r="J160" s="31"/>
      <c r="K160" s="31"/>
    </row>
    <row r="161" spans="2:11" ht="13">
      <c r="B161" s="28"/>
      <c r="C161" s="29"/>
      <c r="D161" s="31"/>
      <c r="E161" s="31"/>
      <c r="F161" s="95"/>
      <c r="G161" s="31"/>
      <c r="H161" s="31"/>
      <c r="I161" s="31"/>
      <c r="J161" s="31"/>
      <c r="K161" s="31"/>
    </row>
    <row r="162" spans="2:11" ht="13">
      <c r="B162" s="28"/>
      <c r="C162" s="29"/>
      <c r="D162" s="31"/>
      <c r="E162" s="31"/>
      <c r="F162" s="95"/>
      <c r="G162" s="31"/>
      <c r="H162" s="31"/>
      <c r="I162" s="31"/>
      <c r="J162" s="31"/>
      <c r="K162" s="31"/>
    </row>
    <row r="163" spans="2:11" ht="13">
      <c r="B163" s="28"/>
      <c r="C163" s="29"/>
      <c r="D163" s="31"/>
      <c r="E163" s="31"/>
      <c r="F163" s="95"/>
      <c r="G163" s="31"/>
      <c r="H163" s="31"/>
      <c r="I163" s="31"/>
      <c r="J163" s="31"/>
      <c r="K163" s="31"/>
    </row>
    <row r="164" spans="2:11" ht="13">
      <c r="B164" s="28"/>
      <c r="C164" s="29"/>
      <c r="D164" s="31"/>
      <c r="E164" s="31"/>
      <c r="F164" s="95"/>
      <c r="G164" s="31"/>
      <c r="H164" s="31"/>
      <c r="I164" s="31"/>
      <c r="J164" s="31"/>
      <c r="K164" s="31"/>
    </row>
    <row r="165" spans="2:11" ht="13">
      <c r="B165" s="28"/>
      <c r="C165" s="29"/>
      <c r="D165" s="31"/>
      <c r="E165" s="31"/>
      <c r="F165" s="95"/>
      <c r="G165" s="31"/>
      <c r="H165" s="31"/>
      <c r="I165" s="31"/>
      <c r="J165" s="31"/>
      <c r="K165" s="31"/>
    </row>
    <row r="166" spans="2:11" ht="13">
      <c r="B166" s="28"/>
      <c r="C166" s="29"/>
      <c r="D166" s="31"/>
      <c r="E166" s="31"/>
      <c r="F166" s="95"/>
      <c r="G166" s="31"/>
      <c r="H166" s="31"/>
      <c r="I166" s="31"/>
      <c r="J166" s="31"/>
      <c r="K166" s="31"/>
    </row>
    <row r="167" spans="2:11" ht="13">
      <c r="B167" s="28"/>
      <c r="C167" s="29"/>
      <c r="D167" s="31"/>
      <c r="E167" s="31"/>
      <c r="F167" s="95"/>
      <c r="G167" s="31"/>
      <c r="H167" s="31"/>
      <c r="I167" s="31"/>
      <c r="J167" s="31"/>
      <c r="K167" s="31"/>
    </row>
    <row r="168" spans="2:11" ht="13">
      <c r="B168" s="28"/>
      <c r="C168" s="29"/>
      <c r="D168" s="31"/>
      <c r="E168" s="31"/>
      <c r="F168" s="95"/>
      <c r="G168" s="31"/>
      <c r="H168" s="31"/>
      <c r="I168" s="31"/>
      <c r="J168" s="31"/>
      <c r="K168" s="31"/>
    </row>
    <row r="169" spans="2:11" ht="13">
      <c r="B169" s="28"/>
      <c r="C169" s="29"/>
      <c r="D169" s="31"/>
      <c r="E169" s="31"/>
      <c r="F169" s="95"/>
      <c r="G169" s="31"/>
      <c r="H169" s="31"/>
      <c r="I169" s="31"/>
      <c r="J169" s="31"/>
      <c r="K169" s="31"/>
    </row>
    <row r="170" spans="2:11" ht="13">
      <c r="B170" s="28"/>
      <c r="C170" s="29"/>
      <c r="D170" s="31"/>
      <c r="E170" s="31"/>
      <c r="F170" s="95"/>
      <c r="G170" s="31"/>
      <c r="H170" s="31"/>
      <c r="I170" s="31"/>
      <c r="J170" s="31"/>
      <c r="K170" s="31"/>
    </row>
    <row r="171" spans="2:11" ht="13">
      <c r="B171" s="28"/>
      <c r="C171" s="29"/>
      <c r="D171" s="31"/>
      <c r="E171" s="31"/>
      <c r="F171" s="95"/>
      <c r="G171" s="31"/>
      <c r="H171" s="31"/>
      <c r="I171" s="31"/>
      <c r="J171" s="31"/>
      <c r="K171" s="31"/>
    </row>
    <row r="172" spans="2:11" ht="13">
      <c r="B172" s="28"/>
      <c r="C172" s="29"/>
      <c r="D172" s="31"/>
      <c r="E172" s="31"/>
      <c r="F172" s="95"/>
      <c r="G172" s="31"/>
      <c r="H172" s="31"/>
      <c r="I172" s="31"/>
      <c r="J172" s="31"/>
      <c r="K172" s="31"/>
    </row>
    <row r="173" spans="2:11" ht="13">
      <c r="B173" s="28"/>
      <c r="C173" s="29"/>
      <c r="D173" s="31"/>
      <c r="E173" s="31"/>
      <c r="F173" s="95"/>
      <c r="G173" s="31"/>
      <c r="H173" s="31"/>
      <c r="I173" s="31"/>
      <c r="J173" s="31"/>
      <c r="K173" s="31"/>
    </row>
    <row r="174" spans="2:11" ht="13">
      <c r="B174" s="28"/>
      <c r="C174" s="29"/>
      <c r="D174" s="31"/>
      <c r="E174" s="31"/>
      <c r="F174" s="95"/>
      <c r="G174" s="31"/>
      <c r="H174" s="31"/>
      <c r="I174" s="31"/>
      <c r="J174" s="31"/>
      <c r="K174" s="31"/>
    </row>
    <row r="175" spans="2:11" ht="13">
      <c r="B175" s="28"/>
      <c r="C175" s="29"/>
      <c r="D175" s="31"/>
      <c r="E175" s="31"/>
      <c r="F175" s="95"/>
      <c r="G175" s="31"/>
      <c r="H175" s="31"/>
      <c r="I175" s="31"/>
      <c r="J175" s="31"/>
      <c r="K175" s="31"/>
    </row>
    <row r="176" spans="2:11" ht="13">
      <c r="B176" s="28"/>
      <c r="C176" s="29"/>
      <c r="D176" s="31"/>
      <c r="E176" s="31"/>
      <c r="F176" s="95"/>
      <c r="G176" s="31"/>
      <c r="H176" s="31"/>
      <c r="I176" s="31"/>
      <c r="J176" s="31"/>
      <c r="K176" s="31"/>
    </row>
    <row r="177" spans="2:11" ht="13">
      <c r="B177" s="28"/>
      <c r="C177" s="29"/>
      <c r="D177" s="31"/>
      <c r="E177" s="31"/>
      <c r="F177" s="95"/>
      <c r="G177" s="31"/>
      <c r="H177" s="31"/>
      <c r="I177" s="31"/>
      <c r="J177" s="31"/>
      <c r="K177" s="31"/>
    </row>
    <row r="178" spans="2:11" ht="13">
      <c r="B178" s="28"/>
      <c r="C178" s="29"/>
      <c r="D178" s="31"/>
      <c r="E178" s="31"/>
      <c r="F178" s="95"/>
      <c r="G178" s="31"/>
      <c r="H178" s="31"/>
      <c r="I178" s="31"/>
      <c r="J178" s="31"/>
      <c r="K178" s="31"/>
    </row>
    <row r="179" spans="2:11" ht="13">
      <c r="B179" s="28"/>
      <c r="C179" s="29"/>
      <c r="D179" s="31"/>
      <c r="E179" s="31"/>
      <c r="F179" s="95"/>
      <c r="G179" s="31"/>
      <c r="H179" s="31"/>
      <c r="I179" s="31"/>
      <c r="J179" s="31"/>
      <c r="K179" s="31"/>
    </row>
    <row r="180" spans="2:11" ht="13">
      <c r="B180" s="28"/>
      <c r="C180" s="29"/>
      <c r="D180" s="31"/>
      <c r="E180" s="31"/>
      <c r="F180" s="95"/>
      <c r="G180" s="31"/>
      <c r="H180" s="31"/>
      <c r="I180" s="31"/>
      <c r="J180" s="31"/>
      <c r="K180" s="31"/>
    </row>
    <row r="181" spans="2:11" ht="13">
      <c r="B181" s="28"/>
      <c r="C181" s="29"/>
      <c r="D181" s="31"/>
      <c r="E181" s="31"/>
      <c r="F181" s="95"/>
      <c r="G181" s="31"/>
      <c r="H181" s="31"/>
      <c r="I181" s="31"/>
      <c r="J181" s="31"/>
      <c r="K181" s="31"/>
    </row>
    <row r="182" spans="2:11" ht="13">
      <c r="B182" s="28"/>
      <c r="C182" s="29"/>
      <c r="D182" s="31"/>
      <c r="E182" s="31"/>
      <c r="F182" s="95"/>
      <c r="G182" s="31"/>
      <c r="H182" s="31"/>
      <c r="I182" s="31"/>
      <c r="J182" s="31"/>
      <c r="K182" s="31"/>
    </row>
    <row r="183" spans="2:11">
      <c r="B183" s="1"/>
      <c r="C183" s="1"/>
      <c r="D183" s="1"/>
      <c r="E183" s="1"/>
      <c r="F183" s="94"/>
      <c r="G183" s="1"/>
      <c r="H183" s="1"/>
      <c r="I183" s="1"/>
      <c r="J183" s="1"/>
    </row>
    <row r="184" spans="2:11">
      <c r="B184" s="1"/>
      <c r="C184" s="1"/>
      <c r="D184" s="1"/>
      <c r="E184" s="1"/>
      <c r="F184" s="94"/>
      <c r="G184" s="1"/>
      <c r="H184" s="1"/>
      <c r="I184" s="1"/>
      <c r="J184" s="1"/>
    </row>
    <row r="185" spans="2:11">
      <c r="B185" s="1"/>
      <c r="C185" s="1"/>
      <c r="D185" s="1"/>
      <c r="E185" s="1"/>
      <c r="F185" s="94"/>
      <c r="G185" s="1"/>
      <c r="H185" s="1"/>
      <c r="I185" s="1"/>
      <c r="J185" s="1"/>
    </row>
    <row r="186" spans="2:11">
      <c r="B186" s="1"/>
      <c r="C186" s="1"/>
      <c r="D186" s="1"/>
      <c r="E186" s="1"/>
      <c r="F186" s="94"/>
      <c r="G186" s="1"/>
      <c r="H186" s="1"/>
      <c r="I186" s="1"/>
      <c r="J186" s="1"/>
    </row>
    <row r="187" spans="2:11">
      <c r="B187" s="1"/>
      <c r="C187" s="1"/>
      <c r="D187" s="1"/>
      <c r="E187" s="1"/>
      <c r="F187" s="94"/>
      <c r="G187" s="1"/>
      <c r="H187" s="1"/>
      <c r="I187" s="1"/>
      <c r="J187" s="1"/>
    </row>
    <row r="188" spans="2:11">
      <c r="B188" s="1"/>
      <c r="C188" s="1"/>
      <c r="D188" s="1"/>
      <c r="E188" s="1"/>
      <c r="F188" s="94"/>
      <c r="G188" s="1"/>
      <c r="H188" s="1"/>
      <c r="I188" s="1"/>
      <c r="J188" s="1"/>
    </row>
    <row r="189" spans="2:11">
      <c r="B189" s="1"/>
      <c r="C189" s="1"/>
      <c r="D189" s="1"/>
      <c r="E189" s="1"/>
      <c r="F189" s="94"/>
      <c r="G189" s="1"/>
      <c r="H189" s="1"/>
      <c r="I189" s="1"/>
      <c r="J189" s="1"/>
    </row>
    <row r="190" spans="2:11">
      <c r="B190" s="1"/>
      <c r="C190" s="1"/>
      <c r="D190" s="1"/>
      <c r="E190" s="1"/>
      <c r="F190" s="94"/>
      <c r="G190" s="1"/>
      <c r="H190" s="1"/>
      <c r="I190" s="1"/>
      <c r="J190" s="1"/>
    </row>
    <row r="191" spans="2:11">
      <c r="B191" s="1"/>
      <c r="C191" s="1"/>
      <c r="D191" s="1"/>
      <c r="E191" s="1"/>
      <c r="F191" s="94"/>
      <c r="G191" s="1"/>
      <c r="H191" s="1"/>
      <c r="I191" s="1"/>
      <c r="J191" s="1"/>
    </row>
    <row r="192" spans="2:11">
      <c r="B192" s="1"/>
      <c r="C192" s="1"/>
      <c r="D192" s="1"/>
      <c r="E192" s="1"/>
      <c r="F192" s="94"/>
      <c r="G192" s="1"/>
      <c r="H192" s="1"/>
      <c r="I192" s="1"/>
      <c r="J192" s="1"/>
    </row>
    <row r="193" spans="2:10">
      <c r="B193" s="1"/>
      <c r="C193" s="1"/>
      <c r="D193" s="1"/>
      <c r="E193" s="1"/>
      <c r="F193" s="94"/>
      <c r="G193" s="1"/>
      <c r="H193" s="1"/>
      <c r="I193" s="1"/>
      <c r="J193" s="1"/>
    </row>
    <row r="194" spans="2:10">
      <c r="B194" s="1"/>
      <c r="C194" s="1"/>
      <c r="D194" s="1"/>
      <c r="E194" s="1"/>
      <c r="F194" s="94"/>
      <c r="G194" s="1"/>
      <c r="H194" s="1"/>
      <c r="I194" s="1"/>
      <c r="J194" s="1"/>
    </row>
    <row r="195" spans="2:10">
      <c r="B195" s="1"/>
      <c r="C195" s="1"/>
      <c r="D195" s="1"/>
      <c r="E195" s="1"/>
      <c r="F195" s="94"/>
      <c r="G195" s="1"/>
      <c r="H195" s="1"/>
      <c r="I195" s="1"/>
      <c r="J195" s="1"/>
    </row>
    <row r="196" spans="2:10">
      <c r="B196" s="1"/>
      <c r="C196" s="1"/>
      <c r="D196" s="1"/>
      <c r="E196" s="1"/>
      <c r="F196" s="94"/>
      <c r="G196" s="1"/>
      <c r="H196" s="1"/>
      <c r="I196" s="1"/>
      <c r="J196" s="1"/>
    </row>
    <row r="197" spans="2:10">
      <c r="B197" s="1"/>
      <c r="C197" s="1"/>
      <c r="D197" s="1"/>
      <c r="E197" s="1"/>
      <c r="F197" s="94"/>
      <c r="G197" s="1"/>
      <c r="H197" s="1"/>
      <c r="I197" s="1"/>
      <c r="J197" s="1"/>
    </row>
    <row r="198" spans="2:10">
      <c r="B198" s="1"/>
      <c r="C198" s="1"/>
      <c r="D198" s="1"/>
      <c r="E198" s="1"/>
      <c r="F198" s="94"/>
      <c r="G198" s="1"/>
      <c r="H198" s="1"/>
      <c r="I198" s="1"/>
      <c r="J198" s="1"/>
    </row>
    <row r="199" spans="2:10">
      <c r="B199" s="1"/>
      <c r="C199" s="1"/>
      <c r="D199" s="1"/>
      <c r="E199" s="1"/>
      <c r="F199" s="94"/>
      <c r="G199" s="1"/>
      <c r="H199" s="1"/>
      <c r="I199" s="1"/>
      <c r="J199" s="1"/>
    </row>
    <row r="200" spans="2:10">
      <c r="B200" s="1"/>
      <c r="C200" s="1"/>
      <c r="D200" s="1"/>
      <c r="E200" s="1"/>
      <c r="F200" s="94"/>
      <c r="G200" s="1"/>
      <c r="H200" s="1"/>
      <c r="I200" s="1"/>
      <c r="J200" s="1"/>
    </row>
    <row r="201" spans="2:10">
      <c r="B201" s="1"/>
      <c r="C201" s="1"/>
      <c r="D201" s="1"/>
      <c r="E201" s="1"/>
      <c r="F201" s="94"/>
      <c r="G201" s="1"/>
      <c r="H201" s="1"/>
      <c r="I201" s="1"/>
      <c r="J201" s="1"/>
    </row>
    <row r="202" spans="2:10">
      <c r="B202" s="1"/>
      <c r="C202" s="1"/>
      <c r="D202" s="1"/>
      <c r="E202" s="1"/>
      <c r="F202" s="94"/>
      <c r="G202" s="1"/>
      <c r="H202" s="1"/>
      <c r="I202" s="1"/>
      <c r="J202" s="1"/>
    </row>
    <row r="203" spans="2:10">
      <c r="B203" s="1"/>
      <c r="C203" s="1"/>
      <c r="D203" s="1"/>
      <c r="E203" s="1"/>
      <c r="F203" s="94"/>
      <c r="G203" s="1"/>
      <c r="H203" s="1"/>
      <c r="I203" s="1"/>
      <c r="J203" s="1"/>
    </row>
    <row r="204" spans="2:10">
      <c r="B204" s="1"/>
      <c r="C204" s="1"/>
      <c r="D204" s="1"/>
      <c r="E204" s="1"/>
      <c r="F204" s="94"/>
      <c r="G204" s="1"/>
      <c r="H204" s="1"/>
      <c r="I204" s="1"/>
      <c r="J204" s="1"/>
    </row>
    <row r="205" spans="2:10">
      <c r="B205" s="1"/>
      <c r="C205" s="1"/>
      <c r="D205" s="1"/>
      <c r="E205" s="1"/>
      <c r="F205" s="94"/>
      <c r="G205" s="1"/>
      <c r="H205" s="1"/>
      <c r="I205" s="1"/>
      <c r="J205" s="1"/>
    </row>
    <row r="206" spans="2:10">
      <c r="B206" s="1"/>
      <c r="C206" s="1"/>
      <c r="D206" s="1"/>
      <c r="E206" s="1"/>
      <c r="F206" s="94"/>
      <c r="G206" s="1"/>
      <c r="H206" s="1"/>
      <c r="I206" s="1"/>
      <c r="J206" s="1"/>
    </row>
    <row r="207" spans="2:10">
      <c r="B207" s="1"/>
      <c r="C207" s="1"/>
      <c r="D207" s="1"/>
      <c r="E207" s="1"/>
      <c r="F207" s="94"/>
      <c r="G207" s="1"/>
      <c r="H207" s="1"/>
      <c r="I207" s="1"/>
      <c r="J207" s="1"/>
    </row>
    <row r="208" spans="2:10">
      <c r="B208" s="1"/>
      <c r="C208" s="1"/>
      <c r="D208" s="1"/>
      <c r="E208" s="1"/>
      <c r="F208" s="94"/>
      <c r="G208" s="1"/>
      <c r="H208" s="1"/>
      <c r="I208" s="1"/>
      <c r="J208" s="1"/>
    </row>
    <row r="209" spans="2:10">
      <c r="B209" s="1"/>
      <c r="C209" s="1"/>
      <c r="D209" s="1"/>
      <c r="E209" s="1"/>
      <c r="F209" s="94"/>
      <c r="G209" s="1"/>
      <c r="H209" s="1"/>
      <c r="I209" s="1"/>
      <c r="J209" s="1"/>
    </row>
    <row r="210" spans="2:10">
      <c r="B210" s="1"/>
      <c r="C210" s="1"/>
      <c r="D210" s="1"/>
      <c r="E210" s="1"/>
      <c r="F210" s="94"/>
      <c r="G210" s="1"/>
      <c r="H210" s="1"/>
      <c r="I210" s="1"/>
      <c r="J210" s="1"/>
    </row>
    <row r="211" spans="2:10">
      <c r="B211" s="1"/>
      <c r="C211" s="1"/>
      <c r="D211" s="1"/>
      <c r="E211" s="1"/>
      <c r="F211" s="94"/>
      <c r="G211" s="1"/>
      <c r="H211" s="1"/>
      <c r="I211" s="1"/>
      <c r="J211" s="1"/>
    </row>
    <row r="212" spans="2:10">
      <c r="B212" s="1"/>
      <c r="C212" s="1"/>
      <c r="D212" s="1"/>
      <c r="E212" s="1"/>
      <c r="F212" s="94"/>
      <c r="G212" s="1"/>
      <c r="H212" s="1"/>
      <c r="I212" s="1"/>
      <c r="J212" s="1"/>
    </row>
    <row r="213" spans="2:10">
      <c r="B213" s="1"/>
      <c r="C213" s="1"/>
      <c r="D213" s="1"/>
      <c r="E213" s="1"/>
      <c r="F213" s="94"/>
      <c r="G213" s="1"/>
      <c r="H213" s="1"/>
      <c r="I213" s="1"/>
      <c r="J213" s="1"/>
    </row>
    <row r="214" spans="2:10">
      <c r="B214" s="1"/>
      <c r="C214" s="1"/>
      <c r="D214" s="1"/>
      <c r="E214" s="1"/>
      <c r="F214" s="94"/>
      <c r="G214" s="1"/>
      <c r="H214" s="1"/>
      <c r="I214" s="1"/>
      <c r="J214" s="1"/>
    </row>
    <row r="215" spans="2:10">
      <c r="B215" s="1"/>
      <c r="C215" s="1"/>
      <c r="D215" s="1"/>
      <c r="E215" s="1"/>
      <c r="F215" s="94"/>
      <c r="G215" s="1"/>
      <c r="H215" s="1"/>
      <c r="I215" s="1"/>
      <c r="J215" s="1"/>
    </row>
    <row r="216" spans="2:10">
      <c r="B216" s="1"/>
      <c r="C216" s="1"/>
      <c r="D216" s="1"/>
      <c r="E216" s="1"/>
      <c r="F216" s="94"/>
      <c r="G216" s="1"/>
      <c r="H216" s="1"/>
      <c r="I216" s="1"/>
      <c r="J216" s="1"/>
    </row>
    <row r="217" spans="2:10">
      <c r="B217" s="1"/>
      <c r="C217" s="1"/>
      <c r="D217" s="1"/>
      <c r="E217" s="1"/>
      <c r="F217" s="94"/>
      <c r="G217" s="1"/>
      <c r="H217" s="1"/>
      <c r="I217" s="1"/>
      <c r="J217" s="1"/>
    </row>
    <row r="218" spans="2:10">
      <c r="B218" s="1"/>
      <c r="C218" s="1"/>
      <c r="D218" s="1"/>
      <c r="E218" s="1"/>
      <c r="F218" s="94"/>
      <c r="G218" s="1"/>
      <c r="H218" s="1"/>
      <c r="I218" s="1"/>
      <c r="J218" s="1"/>
    </row>
    <row r="219" spans="2:10">
      <c r="B219" s="1"/>
      <c r="C219" s="1"/>
      <c r="D219" s="1"/>
      <c r="E219" s="1"/>
      <c r="F219" s="94"/>
      <c r="G219" s="1"/>
      <c r="H219" s="1"/>
      <c r="I219" s="1"/>
      <c r="J219" s="1"/>
    </row>
    <row r="220" spans="2:10">
      <c r="B220" s="1"/>
      <c r="C220" s="1"/>
      <c r="D220" s="1"/>
      <c r="E220" s="1"/>
      <c r="F220" s="94"/>
      <c r="G220" s="1"/>
      <c r="H220" s="1"/>
      <c r="I220" s="1"/>
      <c r="J220" s="1"/>
    </row>
    <row r="221" spans="2:10">
      <c r="B221" s="1"/>
      <c r="C221" s="1"/>
      <c r="D221" s="1"/>
      <c r="E221" s="1"/>
      <c r="F221" s="94"/>
      <c r="G221" s="1"/>
      <c r="H221" s="1"/>
      <c r="I221" s="1"/>
      <c r="J221" s="1"/>
    </row>
    <row r="222" spans="2:10">
      <c r="B222" s="1"/>
      <c r="C222" s="1"/>
      <c r="D222" s="1"/>
      <c r="E222" s="1"/>
      <c r="F222" s="94"/>
      <c r="G222" s="1"/>
      <c r="H222" s="1"/>
      <c r="I222" s="1"/>
      <c r="J222" s="1"/>
    </row>
    <row r="223" spans="2:10">
      <c r="B223" s="1"/>
      <c r="C223" s="1"/>
      <c r="D223" s="1"/>
      <c r="E223" s="1"/>
      <c r="F223" s="94"/>
      <c r="G223" s="1"/>
      <c r="H223" s="1"/>
      <c r="I223" s="1"/>
      <c r="J223" s="1"/>
    </row>
    <row r="224" spans="2:10">
      <c r="B224" s="1"/>
      <c r="C224" s="1"/>
      <c r="D224" s="1"/>
      <c r="E224" s="1"/>
      <c r="F224" s="94"/>
      <c r="G224" s="1"/>
      <c r="H224" s="1"/>
      <c r="I224" s="1"/>
      <c r="J224" s="1"/>
    </row>
    <row r="225" spans="2:10">
      <c r="B225" s="1"/>
      <c r="C225" s="1"/>
      <c r="D225" s="1"/>
      <c r="E225" s="1"/>
      <c r="F225" s="94"/>
      <c r="G225" s="1"/>
      <c r="H225" s="1"/>
      <c r="I225" s="1"/>
      <c r="J225" s="1"/>
    </row>
    <row r="226" spans="2:10">
      <c r="B226" s="1"/>
      <c r="C226" s="1"/>
      <c r="D226" s="1"/>
      <c r="E226" s="1"/>
      <c r="F226" s="94"/>
      <c r="G226" s="1"/>
      <c r="H226" s="1"/>
      <c r="I226" s="1"/>
      <c r="J226" s="1"/>
    </row>
    <row r="227" spans="2:10">
      <c r="B227" s="1"/>
      <c r="C227" s="1"/>
      <c r="D227" s="1"/>
      <c r="E227" s="1"/>
      <c r="F227" s="94"/>
      <c r="G227" s="1"/>
      <c r="H227" s="1"/>
      <c r="I227" s="1"/>
      <c r="J227" s="1"/>
    </row>
    <row r="228" spans="2:10">
      <c r="B228" s="1"/>
      <c r="C228" s="1"/>
      <c r="D228" s="1"/>
      <c r="E228" s="1"/>
      <c r="F228" s="94"/>
      <c r="G228" s="1"/>
      <c r="H228" s="1"/>
      <c r="I228" s="1"/>
      <c r="J228" s="1"/>
    </row>
    <row r="229" spans="2:10">
      <c r="B229" s="1"/>
      <c r="C229" s="1"/>
      <c r="D229" s="1"/>
      <c r="E229" s="1"/>
      <c r="F229" s="94"/>
      <c r="G229" s="1"/>
      <c r="H229" s="1"/>
      <c r="I229" s="1"/>
      <c r="J229" s="1"/>
    </row>
    <row r="230" spans="2:10">
      <c r="B230" s="1"/>
      <c r="C230" s="1"/>
      <c r="D230" s="1"/>
      <c r="E230" s="1"/>
      <c r="F230" s="94"/>
      <c r="G230" s="1"/>
      <c r="H230" s="1"/>
      <c r="I230" s="1"/>
      <c r="J230" s="1"/>
    </row>
    <row r="231" spans="2:10">
      <c r="B231" s="1"/>
      <c r="C231" s="1"/>
      <c r="D231" s="1"/>
      <c r="E231" s="1"/>
      <c r="F231" s="94"/>
      <c r="G231" s="1"/>
      <c r="H231" s="1"/>
      <c r="I231" s="1"/>
      <c r="J231" s="1"/>
    </row>
    <row r="232" spans="2:10">
      <c r="B232" s="1"/>
      <c r="C232" s="1"/>
      <c r="D232" s="1"/>
      <c r="E232" s="1"/>
      <c r="F232" s="94"/>
      <c r="G232" s="1"/>
      <c r="H232" s="1"/>
      <c r="I232" s="1"/>
      <c r="J232" s="1"/>
    </row>
    <row r="233" spans="2:10">
      <c r="B233" s="1"/>
      <c r="C233" s="1"/>
      <c r="D233" s="1"/>
      <c r="E233" s="1"/>
      <c r="F233" s="94"/>
      <c r="G233" s="1"/>
      <c r="H233" s="1"/>
      <c r="I233" s="1"/>
      <c r="J233" s="1"/>
    </row>
    <row r="234" spans="2:10">
      <c r="B234" s="1"/>
      <c r="C234" s="1"/>
      <c r="D234" s="1"/>
      <c r="E234" s="1"/>
      <c r="F234" s="94"/>
      <c r="G234" s="1"/>
      <c r="H234" s="1"/>
      <c r="I234" s="1"/>
      <c r="J234" s="1"/>
    </row>
    <row r="235" spans="2:10">
      <c r="B235" s="1"/>
      <c r="C235" s="1"/>
      <c r="D235" s="1"/>
      <c r="E235" s="1"/>
      <c r="F235" s="94"/>
      <c r="G235" s="1"/>
      <c r="H235" s="1"/>
      <c r="I235" s="1"/>
      <c r="J235" s="1"/>
    </row>
    <row r="236" spans="2:10">
      <c r="B236" s="1"/>
      <c r="C236" s="1"/>
      <c r="D236" s="1"/>
      <c r="E236" s="1"/>
      <c r="F236" s="94"/>
      <c r="G236" s="1"/>
      <c r="H236" s="1"/>
      <c r="I236" s="1"/>
      <c r="J236" s="1"/>
    </row>
    <row r="237" spans="2:10">
      <c r="B237" s="1"/>
      <c r="C237" s="1"/>
      <c r="D237" s="1"/>
      <c r="E237" s="1"/>
      <c r="F237" s="94"/>
      <c r="G237" s="1"/>
      <c r="H237" s="1"/>
      <c r="I237" s="1"/>
      <c r="J237" s="1"/>
    </row>
    <row r="238" spans="2:10">
      <c r="B238" s="1"/>
      <c r="C238" s="1"/>
      <c r="D238" s="1"/>
      <c r="E238" s="1"/>
      <c r="F238" s="94"/>
      <c r="G238" s="1"/>
      <c r="H238" s="1"/>
      <c r="I238" s="1"/>
      <c r="J238" s="1"/>
    </row>
    <row r="239" spans="2:10">
      <c r="B239" s="1"/>
      <c r="C239" s="1"/>
      <c r="D239" s="1"/>
      <c r="E239" s="1"/>
      <c r="F239" s="94"/>
      <c r="G239" s="1"/>
      <c r="H239" s="1"/>
      <c r="I239" s="1"/>
      <c r="J239" s="1"/>
    </row>
    <row r="240" spans="2:10">
      <c r="B240" s="1"/>
      <c r="C240" s="1"/>
      <c r="D240" s="1"/>
      <c r="E240" s="1"/>
      <c r="F240" s="94"/>
      <c r="G240" s="1"/>
      <c r="H240" s="1"/>
      <c r="I240" s="1"/>
      <c r="J240" s="1"/>
    </row>
    <row r="241" spans="2:10">
      <c r="B241" s="1"/>
      <c r="C241" s="1"/>
      <c r="D241" s="1"/>
      <c r="E241" s="1"/>
      <c r="F241" s="94"/>
      <c r="G241" s="1"/>
      <c r="H241" s="1"/>
      <c r="I241" s="1"/>
      <c r="J241" s="1"/>
    </row>
    <row r="242" spans="2:10">
      <c r="B242" s="1"/>
      <c r="C242" s="1"/>
      <c r="D242" s="1"/>
      <c r="E242" s="1"/>
      <c r="F242" s="94"/>
      <c r="G242" s="1"/>
      <c r="H242" s="1"/>
      <c r="I242" s="1"/>
      <c r="J242" s="1"/>
    </row>
    <row r="243" spans="2:10">
      <c r="B243" s="1"/>
      <c r="C243" s="1"/>
      <c r="D243" s="1"/>
      <c r="E243" s="1"/>
      <c r="F243" s="94"/>
      <c r="G243" s="1"/>
      <c r="H243" s="1"/>
      <c r="I243" s="1"/>
      <c r="J243" s="1"/>
    </row>
    <row r="244" spans="2:10">
      <c r="B244" s="1"/>
      <c r="C244" s="1"/>
      <c r="D244" s="1"/>
      <c r="E244" s="1"/>
      <c r="F244" s="94"/>
      <c r="G244" s="1"/>
      <c r="H244" s="1"/>
      <c r="I244" s="1"/>
      <c r="J244" s="1"/>
    </row>
    <row r="245" spans="2:10">
      <c r="B245" s="1"/>
      <c r="C245" s="1"/>
      <c r="D245" s="1"/>
      <c r="E245" s="1"/>
      <c r="F245" s="94"/>
      <c r="G245" s="1"/>
      <c r="H245" s="1"/>
      <c r="I245" s="1"/>
      <c r="J245" s="1"/>
    </row>
    <row r="246" spans="2:10">
      <c r="B246" s="1"/>
      <c r="C246" s="1"/>
      <c r="D246" s="1"/>
      <c r="E246" s="1"/>
      <c r="F246" s="94"/>
      <c r="G246" s="1"/>
      <c r="H246" s="1"/>
      <c r="I246" s="1"/>
      <c r="J246" s="1"/>
    </row>
    <row r="247" spans="2:10">
      <c r="B247" s="1"/>
      <c r="C247" s="1"/>
      <c r="D247" s="1"/>
      <c r="E247" s="1"/>
      <c r="F247" s="94"/>
      <c r="G247" s="1"/>
      <c r="H247" s="1"/>
      <c r="I247" s="1"/>
      <c r="J247" s="1"/>
    </row>
    <row r="248" spans="2:10">
      <c r="B248" s="1"/>
      <c r="C248" s="1"/>
      <c r="D248" s="1"/>
      <c r="E248" s="1"/>
      <c r="F248" s="94"/>
      <c r="G248" s="1"/>
      <c r="H248" s="1"/>
      <c r="I248" s="1"/>
      <c r="J248" s="1"/>
    </row>
    <row r="249" spans="2:10">
      <c r="B249" s="1"/>
      <c r="C249" s="1"/>
      <c r="D249" s="1"/>
      <c r="E249" s="1"/>
      <c r="F249" s="94"/>
      <c r="G249" s="1"/>
      <c r="H249" s="1"/>
      <c r="I249" s="1"/>
      <c r="J249" s="1"/>
    </row>
    <row r="250" spans="2:10">
      <c r="B250" s="1"/>
      <c r="C250" s="1"/>
      <c r="D250" s="1"/>
      <c r="E250" s="1"/>
      <c r="F250" s="94"/>
      <c r="G250" s="1"/>
      <c r="H250" s="1"/>
      <c r="I250" s="1"/>
      <c r="J250" s="1"/>
    </row>
    <row r="251" spans="2:10">
      <c r="B251" s="1"/>
      <c r="C251" s="1"/>
      <c r="D251" s="1"/>
      <c r="E251" s="1"/>
      <c r="F251" s="94"/>
      <c r="G251" s="1"/>
      <c r="H251" s="1"/>
      <c r="I251" s="1"/>
      <c r="J251" s="1"/>
    </row>
    <row r="252" spans="2:10">
      <c r="B252" s="1"/>
      <c r="C252" s="1"/>
      <c r="D252" s="1"/>
      <c r="E252" s="1"/>
      <c r="F252" s="94"/>
      <c r="G252" s="1"/>
      <c r="H252" s="1"/>
      <c r="I252" s="1"/>
      <c r="J252" s="1"/>
    </row>
    <row r="253" spans="2:10">
      <c r="B253" s="1"/>
      <c r="C253" s="1"/>
      <c r="D253" s="1"/>
      <c r="E253" s="1"/>
      <c r="F253" s="94"/>
      <c r="G253" s="1"/>
      <c r="H253" s="1"/>
      <c r="I253" s="1"/>
      <c r="J253" s="1"/>
    </row>
    <row r="254" spans="2:10">
      <c r="B254" s="1"/>
      <c r="C254" s="1"/>
      <c r="D254" s="1"/>
      <c r="E254" s="1"/>
      <c r="F254" s="94"/>
      <c r="G254" s="1"/>
      <c r="H254" s="1"/>
      <c r="I254" s="1"/>
      <c r="J254" s="1"/>
    </row>
    <row r="255" spans="2:10">
      <c r="B255" s="1"/>
      <c r="C255" s="1"/>
      <c r="D255" s="1"/>
      <c r="E255" s="1"/>
      <c r="F255" s="94"/>
      <c r="G255" s="1"/>
      <c r="H255" s="1"/>
      <c r="I255" s="1"/>
      <c r="J255" s="1"/>
    </row>
    <row r="256" spans="2:10">
      <c r="B256" s="1"/>
      <c r="C256" s="1"/>
      <c r="D256" s="1"/>
      <c r="E256" s="1"/>
      <c r="F256" s="94"/>
      <c r="G256" s="1"/>
      <c r="H256" s="1"/>
      <c r="I256" s="1"/>
      <c r="J256" s="1"/>
    </row>
    <row r="257" spans="2:10">
      <c r="B257" s="1"/>
      <c r="C257" s="1"/>
      <c r="D257" s="1"/>
      <c r="E257" s="1"/>
      <c r="F257" s="94"/>
      <c r="G257" s="1"/>
      <c r="H257" s="1"/>
      <c r="I257" s="1"/>
      <c r="J257" s="1"/>
    </row>
    <row r="258" spans="2:10">
      <c r="B258" s="1"/>
      <c r="C258" s="1"/>
      <c r="D258" s="1"/>
      <c r="E258" s="1"/>
      <c r="F258" s="94"/>
      <c r="G258" s="1"/>
      <c r="H258" s="1"/>
      <c r="I258" s="1"/>
      <c r="J258" s="1"/>
    </row>
    <row r="259" spans="2:10">
      <c r="B259" s="1"/>
      <c r="C259" s="1"/>
      <c r="D259" s="1"/>
      <c r="E259" s="1"/>
      <c r="F259" s="94"/>
      <c r="G259" s="1"/>
      <c r="H259" s="1"/>
      <c r="I259" s="1"/>
      <c r="J259" s="1"/>
    </row>
    <row r="260" spans="2:10">
      <c r="B260" s="1"/>
      <c r="C260" s="1"/>
      <c r="D260" s="1"/>
      <c r="E260" s="1"/>
      <c r="F260" s="94"/>
      <c r="G260" s="1"/>
      <c r="H260" s="1"/>
      <c r="I260" s="1"/>
      <c r="J260" s="1"/>
    </row>
    <row r="261" spans="2:10">
      <c r="B261" s="1"/>
      <c r="C261" s="1"/>
      <c r="D261" s="1"/>
      <c r="E261" s="1"/>
      <c r="F261" s="94"/>
      <c r="G261" s="1"/>
      <c r="H261" s="1"/>
      <c r="I261" s="1"/>
      <c r="J261" s="1"/>
    </row>
    <row r="262" spans="2:10">
      <c r="B262" s="1"/>
      <c r="C262" s="1"/>
      <c r="D262" s="1"/>
      <c r="E262" s="1"/>
      <c r="F262" s="94"/>
      <c r="G262" s="1"/>
      <c r="H262" s="1"/>
      <c r="I262" s="1"/>
      <c r="J262" s="1"/>
    </row>
    <row r="263" spans="2:10">
      <c r="B263" s="1"/>
      <c r="C263" s="1"/>
      <c r="D263" s="1"/>
      <c r="E263" s="1"/>
      <c r="F263" s="94"/>
      <c r="G263" s="1"/>
      <c r="H263" s="1"/>
      <c r="I263" s="1"/>
      <c r="J263" s="1"/>
    </row>
    <row r="264" spans="2:10">
      <c r="B264" s="1"/>
      <c r="C264" s="1"/>
      <c r="D264" s="1"/>
      <c r="E264" s="1"/>
      <c r="F264" s="94"/>
      <c r="G264" s="1"/>
      <c r="H264" s="1"/>
      <c r="I264" s="1"/>
      <c r="J264" s="1"/>
    </row>
    <row r="265" spans="2:10">
      <c r="B265" s="1"/>
      <c r="C265" s="1"/>
      <c r="D265" s="1"/>
      <c r="E265" s="1"/>
      <c r="F265" s="94"/>
      <c r="G265" s="1"/>
      <c r="H265" s="1"/>
      <c r="I265" s="1"/>
      <c r="J265" s="1"/>
    </row>
    <row r="266" spans="2:10">
      <c r="B266" s="1"/>
      <c r="C266" s="1"/>
      <c r="D266" s="1"/>
      <c r="E266" s="1"/>
      <c r="F266" s="94"/>
      <c r="G266" s="1"/>
      <c r="H266" s="1"/>
      <c r="I266" s="1"/>
      <c r="J266" s="1"/>
    </row>
    <row r="267" spans="2:10">
      <c r="B267" s="1"/>
      <c r="C267" s="1"/>
      <c r="D267" s="1"/>
      <c r="E267" s="1"/>
      <c r="F267" s="94"/>
      <c r="G267" s="1"/>
      <c r="H267" s="1"/>
      <c r="I267" s="1"/>
      <c r="J267" s="1"/>
    </row>
    <row r="268" spans="2:10">
      <c r="B268" s="1"/>
      <c r="C268" s="1"/>
      <c r="D268" s="1"/>
      <c r="E268" s="1"/>
      <c r="F268" s="94"/>
      <c r="G268" s="1"/>
      <c r="H268" s="1"/>
      <c r="I268" s="1"/>
      <c r="J268" s="1"/>
    </row>
    <row r="269" spans="2:10">
      <c r="B269" s="1"/>
      <c r="C269" s="1"/>
      <c r="D269" s="1"/>
      <c r="E269" s="1"/>
      <c r="F269" s="94"/>
      <c r="G269" s="1"/>
      <c r="H269" s="1"/>
      <c r="I269" s="1"/>
      <c r="J269" s="1"/>
    </row>
    <row r="270" spans="2:10">
      <c r="B270" s="1"/>
      <c r="C270" s="1"/>
      <c r="D270" s="1"/>
      <c r="E270" s="1"/>
      <c r="F270" s="94"/>
      <c r="G270" s="1"/>
      <c r="H270" s="1"/>
      <c r="I270" s="1"/>
      <c r="J270" s="1"/>
    </row>
    <row r="271" spans="2:10">
      <c r="B271" s="1"/>
      <c r="C271" s="1"/>
      <c r="D271" s="1"/>
      <c r="E271" s="1"/>
      <c r="F271" s="94"/>
      <c r="G271" s="1"/>
      <c r="H271" s="1"/>
      <c r="I271" s="1"/>
      <c r="J271" s="4"/>
    </row>
    <row r="272" spans="2:10">
      <c r="B272" s="1"/>
      <c r="C272" s="1"/>
      <c r="D272" s="1"/>
      <c r="E272" s="1"/>
      <c r="F272" s="94"/>
      <c r="G272" s="1"/>
      <c r="H272" s="1"/>
      <c r="I272" s="1"/>
      <c r="J272" s="4"/>
    </row>
    <row r="273" spans="2:10">
      <c r="B273" s="1"/>
      <c r="C273" s="1"/>
      <c r="D273" s="1"/>
      <c r="E273" s="1"/>
      <c r="F273" s="94"/>
      <c r="G273" s="1"/>
      <c r="H273" s="1"/>
      <c r="I273" s="1"/>
      <c r="J273" s="4"/>
    </row>
    <row r="274" spans="2:10">
      <c r="B274" s="1"/>
      <c r="C274" s="1"/>
      <c r="D274" s="1"/>
      <c r="E274" s="1"/>
      <c r="F274" s="94"/>
      <c r="G274" s="1"/>
      <c r="H274" s="1"/>
      <c r="I274" s="1"/>
      <c r="J274" s="4"/>
    </row>
    <row r="275" spans="2:10">
      <c r="B275" s="1"/>
      <c r="C275" s="1"/>
      <c r="D275" s="1"/>
      <c r="E275" s="1"/>
      <c r="F275" s="94"/>
      <c r="G275" s="1"/>
      <c r="H275" s="1"/>
      <c r="I275" s="1"/>
      <c r="J275" s="4"/>
    </row>
    <row r="276" spans="2:10">
      <c r="B276" s="1"/>
      <c r="C276" s="1"/>
      <c r="D276" s="1"/>
      <c r="E276" s="1"/>
      <c r="F276" s="94"/>
      <c r="G276" s="1"/>
      <c r="H276" s="1"/>
      <c r="I276" s="1"/>
      <c r="J276" s="4"/>
    </row>
    <row r="277" spans="2:10">
      <c r="B277" s="1"/>
      <c r="C277" s="1"/>
      <c r="D277" s="1"/>
      <c r="E277" s="1"/>
      <c r="F277" s="94"/>
      <c r="G277" s="1"/>
      <c r="H277" s="1"/>
      <c r="I277" s="1"/>
      <c r="J277" s="4"/>
    </row>
    <row r="278" spans="2:10">
      <c r="B278" s="1"/>
      <c r="C278" s="1"/>
      <c r="D278" s="1"/>
      <c r="E278" s="1"/>
      <c r="F278" s="94"/>
      <c r="G278" s="1"/>
      <c r="H278" s="1"/>
      <c r="I278" s="1"/>
      <c r="J278" s="4"/>
    </row>
    <row r="279" spans="2:10">
      <c r="B279" s="1"/>
      <c r="C279" s="1"/>
      <c r="D279" s="1"/>
      <c r="E279" s="1"/>
      <c r="F279" s="94"/>
      <c r="G279" s="1"/>
      <c r="H279" s="1"/>
      <c r="I279" s="1"/>
      <c r="J279" s="4"/>
    </row>
    <row r="280" spans="2:10">
      <c r="B280" s="1"/>
      <c r="C280" s="1"/>
      <c r="D280" s="1"/>
      <c r="E280" s="1"/>
      <c r="F280" s="94"/>
      <c r="G280" s="1"/>
      <c r="H280" s="1"/>
      <c r="I280" s="1"/>
      <c r="J280" s="4"/>
    </row>
    <row r="281" spans="2:10">
      <c r="B281" s="1"/>
      <c r="C281" s="1"/>
      <c r="D281" s="1"/>
      <c r="E281" s="1"/>
      <c r="F281" s="94"/>
      <c r="G281" s="1"/>
      <c r="H281" s="1"/>
      <c r="I281" s="1"/>
      <c r="J281" s="4"/>
    </row>
    <row r="282" spans="2:10">
      <c r="B282" s="1"/>
      <c r="C282" s="1"/>
      <c r="D282" s="1"/>
      <c r="E282" s="1"/>
      <c r="F282" s="94"/>
      <c r="G282" s="1"/>
      <c r="H282" s="1"/>
      <c r="I282" s="1"/>
      <c r="J282" s="4"/>
    </row>
    <row r="283" spans="2:10">
      <c r="B283" s="1"/>
      <c r="C283" s="1"/>
      <c r="D283" s="1"/>
      <c r="E283" s="1"/>
      <c r="F283" s="94"/>
      <c r="G283" s="1"/>
      <c r="H283" s="1"/>
      <c r="I283" s="1"/>
      <c r="J283" s="4"/>
    </row>
    <row r="284" spans="2:10">
      <c r="B284" s="1"/>
      <c r="C284" s="1"/>
      <c r="D284" s="1"/>
      <c r="E284" s="1"/>
      <c r="F284" s="94"/>
      <c r="G284" s="1"/>
      <c r="H284" s="1"/>
      <c r="I284" s="1"/>
      <c r="J284" s="4"/>
    </row>
    <row r="285" spans="2:10">
      <c r="B285" s="1"/>
      <c r="C285" s="1"/>
      <c r="D285" s="1"/>
      <c r="E285" s="1"/>
      <c r="F285" s="94"/>
      <c r="G285" s="1"/>
      <c r="H285" s="1"/>
      <c r="I285" s="1"/>
      <c r="J285" s="4"/>
    </row>
    <row r="286" spans="2:10">
      <c r="B286" s="1"/>
      <c r="C286" s="1"/>
      <c r="D286" s="1"/>
      <c r="E286" s="1"/>
      <c r="F286" s="94"/>
      <c r="G286" s="1"/>
      <c r="H286" s="1"/>
      <c r="I286" s="1"/>
      <c r="J286" s="4"/>
    </row>
    <row r="287" spans="2:10">
      <c r="B287" s="1"/>
      <c r="C287" s="1"/>
      <c r="D287" s="1"/>
      <c r="E287" s="1"/>
      <c r="F287" s="94"/>
      <c r="G287" s="1"/>
      <c r="H287" s="1"/>
      <c r="I287" s="1"/>
      <c r="J287" s="4"/>
    </row>
    <row r="288" spans="2:10">
      <c r="B288" s="1"/>
      <c r="C288" s="1"/>
      <c r="D288" s="1"/>
      <c r="E288" s="1"/>
      <c r="F288" s="94"/>
      <c r="G288" s="1"/>
      <c r="H288" s="1"/>
      <c r="I288" s="1"/>
      <c r="J288" s="4"/>
    </row>
    <row r="289" spans="2:10">
      <c r="B289" s="1"/>
      <c r="C289" s="1"/>
      <c r="D289" s="1"/>
      <c r="E289" s="1"/>
      <c r="F289" s="94"/>
      <c r="G289" s="1"/>
      <c r="H289" s="1"/>
      <c r="I289" s="1"/>
      <c r="J289" s="4"/>
    </row>
    <row r="290" spans="2:10">
      <c r="B290" s="1"/>
      <c r="C290" s="1"/>
      <c r="D290" s="1"/>
      <c r="E290" s="1"/>
      <c r="F290" s="94"/>
      <c r="G290" s="1"/>
      <c r="H290" s="1"/>
      <c r="I290" s="1"/>
      <c r="J290" s="4"/>
    </row>
    <row r="291" spans="2:10">
      <c r="B291" s="1"/>
      <c r="C291" s="1"/>
      <c r="D291" s="1"/>
      <c r="E291" s="1"/>
      <c r="F291" s="94"/>
      <c r="G291" s="1"/>
      <c r="H291" s="1"/>
      <c r="I291" s="1"/>
      <c r="J291" s="4"/>
    </row>
    <row r="292" spans="2:10">
      <c r="B292" s="1"/>
      <c r="C292" s="1"/>
      <c r="D292" s="1"/>
      <c r="E292" s="1"/>
      <c r="F292" s="94"/>
      <c r="G292" s="1"/>
      <c r="H292" s="1"/>
      <c r="I292" s="1"/>
      <c r="J292" s="4"/>
    </row>
    <row r="293" spans="2:10">
      <c r="B293" s="1"/>
      <c r="C293" s="1"/>
      <c r="D293" s="1"/>
      <c r="E293" s="1"/>
      <c r="F293" s="94"/>
      <c r="G293" s="1"/>
      <c r="H293" s="1"/>
      <c r="I293" s="1"/>
      <c r="J293" s="4"/>
    </row>
    <row r="294" spans="2:10">
      <c r="B294" s="1"/>
      <c r="C294" s="1"/>
      <c r="D294" s="1"/>
      <c r="E294" s="1"/>
      <c r="F294" s="94"/>
      <c r="G294" s="1"/>
      <c r="H294" s="1"/>
      <c r="I294" s="1"/>
      <c r="J294" s="4"/>
    </row>
    <row r="295" spans="2:10">
      <c r="B295" s="1"/>
      <c r="C295" s="1"/>
      <c r="D295" s="1"/>
      <c r="E295" s="1"/>
      <c r="F295" s="94"/>
      <c r="G295" s="1"/>
      <c r="H295" s="1"/>
      <c r="I295" s="1"/>
      <c r="J295" s="4"/>
    </row>
    <row r="296" spans="2:10">
      <c r="B296" s="1"/>
      <c r="C296" s="1"/>
      <c r="D296" s="1"/>
      <c r="E296" s="1"/>
      <c r="F296" s="94"/>
      <c r="G296" s="1"/>
      <c r="H296" s="1"/>
      <c r="I296" s="1"/>
      <c r="J296" s="4"/>
    </row>
    <row r="297" spans="2:10">
      <c r="B297" s="1"/>
      <c r="C297" s="1"/>
      <c r="D297" s="1"/>
      <c r="E297" s="1"/>
      <c r="F297" s="94"/>
      <c r="G297" s="1"/>
      <c r="H297" s="1"/>
      <c r="I297" s="1"/>
      <c r="J297" s="4"/>
    </row>
    <row r="298" spans="2:10">
      <c r="B298" s="1"/>
      <c r="C298" s="1"/>
      <c r="D298" s="1"/>
      <c r="E298" s="1"/>
      <c r="F298" s="94"/>
      <c r="G298" s="1"/>
      <c r="H298" s="1"/>
      <c r="I298" s="1"/>
      <c r="J298" s="4"/>
    </row>
    <row r="299" spans="2:10">
      <c r="B299" s="1"/>
      <c r="C299" s="1"/>
      <c r="D299" s="1"/>
      <c r="E299" s="1"/>
      <c r="F299" s="94"/>
      <c r="G299" s="1"/>
      <c r="H299" s="1"/>
      <c r="I299" s="1"/>
      <c r="J299" s="4"/>
    </row>
    <row r="300" spans="2:10">
      <c r="B300" s="1"/>
      <c r="C300" s="1"/>
      <c r="D300" s="1"/>
      <c r="E300" s="1"/>
      <c r="F300" s="94"/>
      <c r="G300" s="1"/>
      <c r="H300" s="1"/>
      <c r="I300" s="1"/>
      <c r="J300" s="4"/>
    </row>
    <row r="301" spans="2:10">
      <c r="B301" s="1"/>
      <c r="C301" s="1"/>
      <c r="D301" s="1"/>
      <c r="E301" s="1"/>
      <c r="F301" s="94"/>
      <c r="G301" s="1"/>
      <c r="H301" s="1"/>
      <c r="I301" s="1"/>
      <c r="J301" s="4"/>
    </row>
    <row r="302" spans="2:10">
      <c r="B302" s="1"/>
      <c r="C302" s="1"/>
      <c r="D302" s="1"/>
      <c r="E302" s="1"/>
      <c r="F302" s="94"/>
      <c r="G302" s="1"/>
      <c r="H302" s="1"/>
      <c r="I302" s="1"/>
      <c r="J302" s="4"/>
    </row>
    <row r="303" spans="2:10">
      <c r="B303" s="1"/>
      <c r="C303" s="1"/>
      <c r="D303" s="1"/>
      <c r="E303" s="1"/>
      <c r="F303" s="94"/>
      <c r="G303" s="1"/>
      <c r="H303" s="1"/>
      <c r="I303" s="1"/>
      <c r="J303" s="4"/>
    </row>
    <row r="304" spans="2:10">
      <c r="B304" s="1"/>
      <c r="C304" s="1"/>
      <c r="D304" s="1"/>
      <c r="E304" s="1"/>
      <c r="F304" s="94"/>
      <c r="G304" s="1"/>
      <c r="H304" s="1"/>
      <c r="I304" s="1"/>
      <c r="J304" s="4"/>
    </row>
    <row r="305" spans="2:10">
      <c r="B305" s="1"/>
      <c r="C305" s="1"/>
      <c r="D305" s="1"/>
      <c r="E305" s="1"/>
      <c r="F305" s="94"/>
      <c r="G305" s="1"/>
      <c r="H305" s="1"/>
      <c r="I305" s="1"/>
      <c r="J305" s="4"/>
    </row>
    <row r="306" spans="2:10">
      <c r="B306" s="1"/>
      <c r="C306" s="1"/>
      <c r="D306" s="1"/>
      <c r="E306" s="1"/>
      <c r="F306" s="94"/>
      <c r="G306" s="1"/>
      <c r="H306" s="1"/>
      <c r="I306" s="1"/>
      <c r="J306" s="4"/>
    </row>
    <row r="307" spans="2:10">
      <c r="B307" s="1"/>
      <c r="C307" s="1"/>
      <c r="D307" s="1"/>
      <c r="E307" s="1"/>
      <c r="F307" s="94"/>
      <c r="G307" s="1"/>
      <c r="H307" s="1"/>
      <c r="I307" s="1"/>
      <c r="J307" s="4"/>
    </row>
    <row r="308" spans="2:10">
      <c r="B308" s="1"/>
      <c r="C308" s="1"/>
      <c r="D308" s="1"/>
      <c r="E308" s="1"/>
      <c r="F308" s="94"/>
      <c r="G308" s="1"/>
      <c r="H308" s="1"/>
      <c r="I308" s="1"/>
      <c r="J308" s="4"/>
    </row>
    <row r="309" spans="2:10">
      <c r="B309" s="1"/>
      <c r="C309" s="1"/>
      <c r="D309" s="1"/>
      <c r="E309" s="1"/>
      <c r="F309" s="94"/>
      <c r="G309" s="1"/>
      <c r="H309" s="1"/>
      <c r="I309" s="1"/>
      <c r="J309" s="4"/>
    </row>
    <row r="310" spans="2:10">
      <c r="B310" s="1"/>
      <c r="C310" s="1"/>
      <c r="D310" s="1"/>
      <c r="E310" s="1"/>
      <c r="F310" s="94"/>
      <c r="G310" s="1"/>
      <c r="H310" s="1"/>
      <c r="I310" s="1"/>
      <c r="J310" s="4"/>
    </row>
    <row r="311" spans="2:10">
      <c r="B311" s="1"/>
      <c r="C311" s="1"/>
      <c r="D311" s="1"/>
      <c r="E311" s="1"/>
      <c r="F311" s="94"/>
      <c r="G311" s="1"/>
      <c r="H311" s="1"/>
      <c r="I311" s="1"/>
      <c r="J311" s="4"/>
    </row>
    <row r="312" spans="2:10">
      <c r="B312" s="1"/>
      <c r="C312" s="1"/>
      <c r="D312" s="1"/>
      <c r="E312" s="1"/>
      <c r="F312" s="94"/>
      <c r="G312" s="1"/>
      <c r="H312" s="1"/>
      <c r="I312" s="1"/>
      <c r="J312" s="4"/>
    </row>
    <row r="313" spans="2:10">
      <c r="B313" s="1"/>
      <c r="C313" s="1"/>
      <c r="D313" s="1"/>
      <c r="E313" s="1"/>
      <c r="F313" s="94"/>
      <c r="G313" s="1"/>
      <c r="H313" s="1"/>
      <c r="I313" s="1"/>
      <c r="J313" s="4"/>
    </row>
    <row r="314" spans="2:10">
      <c r="B314" s="1"/>
      <c r="C314" s="1"/>
      <c r="D314" s="1"/>
      <c r="E314" s="1"/>
      <c r="F314" s="94"/>
      <c r="G314" s="1"/>
      <c r="H314" s="1"/>
      <c r="I314" s="1"/>
      <c r="J314" s="4"/>
    </row>
    <row r="315" spans="2:10">
      <c r="B315" s="1"/>
      <c r="C315" s="1"/>
      <c r="D315" s="1"/>
      <c r="E315" s="1"/>
      <c r="F315" s="94"/>
      <c r="G315" s="1"/>
      <c r="H315" s="1"/>
      <c r="I315" s="1"/>
      <c r="J315" s="4"/>
    </row>
    <row r="316" spans="2:10">
      <c r="B316" s="1"/>
      <c r="C316" s="1"/>
      <c r="D316" s="1"/>
      <c r="E316" s="1"/>
      <c r="F316" s="94"/>
      <c r="G316" s="1"/>
      <c r="H316" s="1"/>
      <c r="I316" s="1"/>
      <c r="J316" s="4"/>
    </row>
    <row r="317" spans="2:10">
      <c r="B317" s="1"/>
      <c r="C317" s="1"/>
      <c r="D317" s="1"/>
      <c r="E317" s="1"/>
      <c r="F317" s="94"/>
      <c r="G317" s="1"/>
      <c r="H317" s="1"/>
      <c r="I317" s="1"/>
      <c r="J317" s="4"/>
    </row>
    <row r="318" spans="2:10">
      <c r="B318" s="1"/>
      <c r="C318" s="1"/>
      <c r="D318" s="1"/>
      <c r="E318" s="1"/>
      <c r="F318" s="94"/>
      <c r="G318" s="1"/>
      <c r="H318" s="1"/>
      <c r="I318" s="1"/>
      <c r="J318" s="4"/>
    </row>
    <row r="319" spans="2:10">
      <c r="B319" s="1"/>
      <c r="C319" s="1"/>
      <c r="D319" s="1"/>
      <c r="E319" s="1"/>
      <c r="F319" s="94"/>
      <c r="G319" s="1"/>
      <c r="H319" s="1"/>
      <c r="I319" s="1"/>
      <c r="J319" s="4"/>
    </row>
    <row r="320" spans="2:10">
      <c r="B320" s="1"/>
      <c r="C320" s="1"/>
      <c r="D320" s="1"/>
      <c r="E320" s="1"/>
      <c r="F320" s="94"/>
      <c r="G320" s="1"/>
      <c r="H320" s="1"/>
      <c r="I320" s="1"/>
      <c r="J320" s="4"/>
    </row>
    <row r="321" spans="2:10">
      <c r="B321" s="1"/>
      <c r="C321" s="1"/>
      <c r="D321" s="1"/>
      <c r="E321" s="1"/>
      <c r="F321" s="94"/>
      <c r="G321" s="1"/>
      <c r="H321" s="1"/>
      <c r="I321" s="1"/>
      <c r="J321" s="4"/>
    </row>
    <row r="322" spans="2:10">
      <c r="B322" s="1"/>
      <c r="C322" s="1"/>
      <c r="D322" s="1"/>
      <c r="E322" s="1"/>
      <c r="F322" s="94"/>
      <c r="G322" s="1"/>
      <c r="H322" s="1"/>
      <c r="I322" s="1"/>
      <c r="J322" s="4"/>
    </row>
    <row r="323" spans="2:10">
      <c r="B323" s="1"/>
      <c r="C323" s="1"/>
      <c r="D323" s="1"/>
      <c r="E323" s="1"/>
      <c r="F323" s="94"/>
      <c r="G323" s="1"/>
      <c r="H323" s="1"/>
      <c r="I323" s="1"/>
      <c r="J323" s="4"/>
    </row>
    <row r="324" spans="2:10">
      <c r="B324" s="1"/>
      <c r="C324" s="1"/>
      <c r="D324" s="1"/>
      <c r="E324" s="1"/>
      <c r="F324" s="94"/>
      <c r="G324" s="1"/>
      <c r="H324" s="1"/>
      <c r="I324" s="1"/>
      <c r="J324" s="4"/>
    </row>
    <row r="325" spans="2:10">
      <c r="B325" s="1"/>
      <c r="C325" s="1"/>
      <c r="D325" s="1"/>
      <c r="E325" s="1"/>
      <c r="F325" s="94"/>
      <c r="G325" s="1"/>
      <c r="H325" s="1"/>
      <c r="I325" s="1"/>
      <c r="J325" s="4"/>
    </row>
    <row r="326" spans="2:10">
      <c r="B326" s="1"/>
      <c r="C326" s="1"/>
      <c r="D326" s="1"/>
      <c r="E326" s="1"/>
      <c r="F326" s="94"/>
      <c r="G326" s="1"/>
      <c r="H326" s="1"/>
      <c r="I326" s="1"/>
      <c r="J326" s="4"/>
    </row>
    <row r="327" spans="2:10">
      <c r="B327" s="1"/>
      <c r="C327" s="1"/>
      <c r="D327" s="1"/>
      <c r="E327" s="1"/>
      <c r="F327" s="94"/>
      <c r="G327" s="1"/>
      <c r="H327" s="1"/>
      <c r="I327" s="1"/>
      <c r="J327" s="4"/>
    </row>
    <row r="328" spans="2:10">
      <c r="B328" s="1"/>
      <c r="C328" s="1"/>
      <c r="D328" s="1"/>
      <c r="E328" s="1"/>
      <c r="F328" s="94"/>
      <c r="G328" s="1"/>
      <c r="H328" s="1"/>
      <c r="I328" s="1"/>
      <c r="J328" s="4"/>
    </row>
    <row r="329" spans="2:10">
      <c r="B329" s="1"/>
      <c r="C329" s="1"/>
      <c r="D329" s="1"/>
      <c r="E329" s="1"/>
      <c r="F329" s="94"/>
      <c r="G329" s="1"/>
      <c r="H329" s="1"/>
      <c r="I329" s="1"/>
      <c r="J329" s="4"/>
    </row>
    <row r="330" spans="2:10">
      <c r="B330" s="1"/>
      <c r="C330" s="1"/>
      <c r="D330" s="1"/>
      <c r="E330" s="1"/>
      <c r="F330" s="94"/>
      <c r="G330" s="1"/>
      <c r="H330" s="1"/>
      <c r="I330" s="1"/>
      <c r="J330" s="4"/>
    </row>
    <row r="331" spans="2:10">
      <c r="B331" s="1"/>
      <c r="C331" s="1"/>
      <c r="D331" s="1"/>
      <c r="E331" s="1"/>
      <c r="F331" s="94"/>
      <c r="G331" s="1"/>
      <c r="H331" s="1"/>
      <c r="I331" s="1"/>
      <c r="J331" s="4"/>
    </row>
    <row r="332" spans="2:10">
      <c r="B332" s="1"/>
      <c r="C332" s="1"/>
      <c r="D332" s="1"/>
      <c r="E332" s="1"/>
      <c r="F332" s="94"/>
      <c r="G332" s="1"/>
      <c r="H332" s="1"/>
      <c r="I332" s="1"/>
      <c r="J332" s="4"/>
    </row>
    <row r="333" spans="2:10">
      <c r="B333" s="1"/>
      <c r="C333" s="1"/>
      <c r="D333" s="1"/>
      <c r="E333" s="1"/>
      <c r="F333" s="94"/>
      <c r="G333" s="1"/>
      <c r="H333" s="1"/>
      <c r="I333" s="1"/>
      <c r="J333" s="4"/>
    </row>
    <row r="334" spans="2:10">
      <c r="B334" s="1"/>
      <c r="C334" s="1"/>
      <c r="D334" s="1"/>
      <c r="E334" s="1"/>
      <c r="F334" s="94"/>
      <c r="G334" s="1"/>
      <c r="H334" s="1"/>
      <c r="I334" s="1"/>
      <c r="J334" s="4"/>
    </row>
    <row r="335" spans="2:10">
      <c r="B335" s="1"/>
      <c r="C335" s="1"/>
      <c r="D335" s="1"/>
      <c r="E335" s="1"/>
      <c r="F335" s="94"/>
      <c r="G335" s="1"/>
      <c r="H335" s="1"/>
      <c r="I335" s="1"/>
      <c r="J335" s="4"/>
    </row>
    <row r="336" spans="2:10">
      <c r="B336" s="1"/>
      <c r="C336" s="1"/>
      <c r="D336" s="1"/>
      <c r="E336" s="1"/>
      <c r="F336" s="94"/>
      <c r="G336" s="1"/>
      <c r="H336" s="1"/>
      <c r="I336" s="1"/>
      <c r="J336" s="4"/>
    </row>
    <row r="337" spans="2:10">
      <c r="B337" s="1"/>
      <c r="C337" s="1"/>
      <c r="D337" s="1"/>
      <c r="E337" s="1"/>
      <c r="F337" s="94"/>
      <c r="G337" s="1"/>
      <c r="H337" s="1"/>
      <c r="I337" s="1"/>
      <c r="J337" s="4"/>
    </row>
    <row r="338" spans="2:10">
      <c r="B338" s="1"/>
      <c r="C338" s="1"/>
      <c r="D338" s="1"/>
      <c r="E338" s="1"/>
      <c r="F338" s="94"/>
      <c r="G338" s="1"/>
      <c r="H338" s="1"/>
      <c r="I338" s="1"/>
      <c r="J338" s="4"/>
    </row>
    <row r="339" spans="2:10">
      <c r="B339" s="1"/>
      <c r="C339" s="1"/>
      <c r="D339" s="1"/>
      <c r="E339" s="1"/>
      <c r="F339" s="94"/>
      <c r="G339" s="1"/>
      <c r="H339" s="1"/>
      <c r="I339" s="1"/>
      <c r="J339" s="4"/>
    </row>
    <row r="340" spans="2:10">
      <c r="B340" s="1"/>
      <c r="C340" s="1"/>
      <c r="D340" s="1"/>
      <c r="E340" s="1"/>
      <c r="F340" s="94"/>
      <c r="G340" s="1"/>
      <c r="H340" s="1"/>
      <c r="I340" s="1"/>
      <c r="J340" s="4"/>
    </row>
    <row r="341" spans="2:10">
      <c r="B341" s="1"/>
      <c r="C341" s="1"/>
      <c r="D341" s="1"/>
      <c r="E341" s="1"/>
      <c r="F341" s="94"/>
      <c r="G341" s="1"/>
      <c r="H341" s="1"/>
      <c r="I341" s="1"/>
      <c r="J341" s="4"/>
    </row>
    <row r="342" spans="2:10">
      <c r="B342" s="1"/>
      <c r="C342" s="1"/>
      <c r="D342" s="1"/>
      <c r="E342" s="1"/>
      <c r="F342" s="94"/>
      <c r="G342" s="1"/>
      <c r="H342" s="1"/>
      <c r="I342" s="1"/>
      <c r="J342" s="4"/>
    </row>
    <row r="343" spans="2:10">
      <c r="B343" s="1"/>
      <c r="C343" s="1"/>
      <c r="D343" s="1"/>
      <c r="E343" s="1"/>
      <c r="F343" s="94"/>
      <c r="G343" s="1"/>
      <c r="H343" s="1"/>
      <c r="I343" s="1"/>
      <c r="J343" s="4"/>
    </row>
    <row r="344" spans="2:10">
      <c r="B344" s="1"/>
      <c r="C344" s="1"/>
      <c r="D344" s="1"/>
      <c r="E344" s="1"/>
      <c r="F344" s="94"/>
      <c r="G344" s="1"/>
      <c r="H344" s="1"/>
      <c r="I344" s="1"/>
      <c r="J344" s="4"/>
    </row>
    <row r="345" spans="2:10">
      <c r="B345" s="1"/>
      <c r="C345" s="1"/>
      <c r="D345" s="1"/>
      <c r="E345" s="1"/>
      <c r="F345" s="94"/>
      <c r="G345" s="1"/>
      <c r="H345" s="1"/>
      <c r="I345" s="1"/>
      <c r="J345" s="4"/>
    </row>
    <row r="346" spans="2:10">
      <c r="B346" s="1"/>
      <c r="C346" s="1"/>
      <c r="D346" s="1"/>
      <c r="E346" s="1"/>
      <c r="F346" s="94"/>
      <c r="G346" s="1"/>
      <c r="H346" s="1"/>
      <c r="I346" s="1"/>
      <c r="J346" s="4"/>
    </row>
    <row r="347" spans="2:10">
      <c r="B347" s="1"/>
      <c r="C347" s="1"/>
      <c r="D347" s="1"/>
      <c r="E347" s="1"/>
      <c r="F347" s="94"/>
      <c r="G347" s="1"/>
      <c r="H347" s="1"/>
      <c r="I347" s="1"/>
      <c r="J347" s="4"/>
    </row>
    <row r="348" spans="2:10">
      <c r="B348" s="1"/>
      <c r="C348" s="1"/>
      <c r="D348" s="1"/>
      <c r="E348" s="1"/>
      <c r="F348" s="94"/>
      <c r="G348" s="1"/>
      <c r="H348" s="1"/>
      <c r="I348" s="1"/>
      <c r="J348" s="4"/>
    </row>
    <row r="349" spans="2:10">
      <c r="B349" s="1"/>
      <c r="C349" s="1"/>
      <c r="D349" s="1"/>
      <c r="E349" s="1"/>
      <c r="F349" s="94"/>
      <c r="G349" s="1"/>
      <c r="H349" s="1"/>
      <c r="I349" s="1"/>
      <c r="J349" s="4"/>
    </row>
    <row r="350" spans="2:10">
      <c r="B350" s="1"/>
      <c r="C350" s="1"/>
      <c r="D350" s="1"/>
      <c r="E350" s="1"/>
      <c r="F350" s="94"/>
      <c r="G350" s="1"/>
      <c r="H350" s="1"/>
      <c r="I350" s="1"/>
      <c r="J350" s="4"/>
    </row>
    <row r="351" spans="2:10">
      <c r="B351" s="1"/>
      <c r="C351" s="1"/>
      <c r="D351" s="1"/>
      <c r="E351" s="1"/>
      <c r="F351" s="94"/>
      <c r="G351" s="1"/>
      <c r="H351" s="1"/>
      <c r="I351" s="1"/>
      <c r="J351" s="4"/>
    </row>
    <row r="352" spans="2:10">
      <c r="B352" s="1"/>
      <c r="C352" s="1"/>
      <c r="D352" s="1"/>
      <c r="E352" s="1"/>
      <c r="F352" s="94"/>
      <c r="G352" s="1"/>
      <c r="H352" s="1"/>
      <c r="I352" s="1"/>
      <c r="J352" s="4"/>
    </row>
    <row r="353" spans="2:10">
      <c r="B353" s="1"/>
      <c r="C353" s="1"/>
      <c r="D353" s="1"/>
      <c r="E353" s="1"/>
      <c r="F353" s="94"/>
      <c r="G353" s="1"/>
      <c r="H353" s="1"/>
      <c r="I353" s="1"/>
      <c r="J353" s="4"/>
    </row>
    <row r="354" spans="2:10">
      <c r="B354" s="1"/>
      <c r="C354" s="1"/>
      <c r="D354" s="1"/>
      <c r="E354" s="1"/>
      <c r="F354" s="94"/>
      <c r="G354" s="1"/>
      <c r="H354" s="1"/>
      <c r="I354" s="1"/>
      <c r="J354" s="4"/>
    </row>
    <row r="355" spans="2:10">
      <c r="B355" s="1"/>
      <c r="C355" s="1"/>
      <c r="D355" s="1"/>
      <c r="E355" s="1"/>
      <c r="F355" s="94"/>
      <c r="G355" s="1"/>
      <c r="H355" s="1"/>
      <c r="I355" s="1"/>
      <c r="J355" s="4"/>
    </row>
    <row r="356" spans="2:10">
      <c r="B356" s="1"/>
      <c r="C356" s="1"/>
      <c r="D356" s="1"/>
      <c r="E356" s="1"/>
      <c r="F356" s="94"/>
      <c r="G356" s="1"/>
      <c r="H356" s="1"/>
      <c r="I356" s="1"/>
      <c r="J356" s="4"/>
    </row>
    <row r="357" spans="2:10">
      <c r="B357" s="1"/>
      <c r="C357" s="1"/>
      <c r="D357" s="1"/>
      <c r="E357" s="1"/>
      <c r="F357" s="94"/>
      <c r="G357" s="1"/>
      <c r="H357" s="1"/>
      <c r="I357" s="1"/>
      <c r="J357" s="4"/>
    </row>
    <row r="358" spans="2:10">
      <c r="B358" s="1"/>
      <c r="C358" s="1"/>
      <c r="D358" s="1"/>
      <c r="E358" s="1"/>
      <c r="F358" s="94"/>
      <c r="G358" s="1"/>
      <c r="H358" s="1"/>
      <c r="I358" s="1"/>
      <c r="J358" s="4"/>
    </row>
    <row r="359" spans="2:10">
      <c r="B359" s="1"/>
      <c r="C359" s="1"/>
      <c r="D359" s="1"/>
      <c r="E359" s="1"/>
      <c r="F359" s="94"/>
      <c r="G359" s="1"/>
      <c r="H359" s="1"/>
      <c r="I359" s="1"/>
      <c r="J359" s="4"/>
    </row>
    <row r="360" spans="2:10">
      <c r="B360" s="1"/>
      <c r="C360" s="1"/>
      <c r="D360" s="1"/>
      <c r="E360" s="1"/>
      <c r="F360" s="94"/>
      <c r="G360" s="1"/>
      <c r="H360" s="1"/>
      <c r="I360" s="1"/>
      <c r="J360" s="4"/>
    </row>
    <row r="361" spans="2:10">
      <c r="B361" s="1"/>
      <c r="C361" s="1"/>
      <c r="D361" s="1"/>
      <c r="E361" s="1"/>
      <c r="F361" s="94"/>
      <c r="G361" s="1"/>
      <c r="H361" s="1"/>
      <c r="I361" s="1"/>
      <c r="J361" s="4"/>
    </row>
    <row r="362" spans="2:10">
      <c r="B362" s="1"/>
      <c r="C362" s="1"/>
      <c r="D362" s="1"/>
      <c r="E362" s="1"/>
      <c r="F362" s="94"/>
      <c r="G362" s="1"/>
      <c r="H362" s="1"/>
      <c r="I362" s="1"/>
      <c r="J362" s="4"/>
    </row>
    <row r="363" spans="2:10">
      <c r="B363" s="1"/>
      <c r="C363" s="1"/>
      <c r="D363" s="1"/>
      <c r="E363" s="1"/>
      <c r="F363" s="94"/>
      <c r="G363" s="1"/>
      <c r="H363" s="1"/>
      <c r="I363" s="1"/>
      <c r="J363" s="4"/>
    </row>
    <row r="364" spans="2:10">
      <c r="B364" s="1"/>
      <c r="C364" s="1"/>
      <c r="D364" s="1"/>
      <c r="E364" s="1"/>
      <c r="F364" s="94"/>
      <c r="G364" s="1"/>
      <c r="H364" s="1"/>
      <c r="I364" s="1"/>
      <c r="J364" s="4"/>
    </row>
    <row r="365" spans="2:10">
      <c r="B365" s="1"/>
      <c r="C365" s="1"/>
      <c r="D365" s="1"/>
      <c r="E365" s="1"/>
      <c r="F365" s="94"/>
      <c r="G365" s="1"/>
      <c r="H365" s="1"/>
      <c r="I365" s="1"/>
      <c r="J365" s="4"/>
    </row>
    <row r="366" spans="2:10">
      <c r="B366" s="1"/>
      <c r="C366" s="1"/>
      <c r="D366" s="1"/>
      <c r="E366" s="1"/>
      <c r="F366" s="94"/>
      <c r="G366" s="1"/>
      <c r="H366" s="1"/>
      <c r="I366" s="1"/>
      <c r="J366" s="4"/>
    </row>
    <row r="367" spans="2:10">
      <c r="B367" s="1"/>
      <c r="C367" s="1"/>
      <c r="D367" s="1"/>
      <c r="E367" s="1"/>
      <c r="F367" s="94"/>
      <c r="G367" s="1"/>
      <c r="H367" s="1"/>
      <c r="I367" s="1"/>
      <c r="J367" s="4"/>
    </row>
    <row r="368" spans="2:10">
      <c r="B368" s="1"/>
      <c r="C368" s="1"/>
      <c r="D368" s="1"/>
      <c r="E368" s="1"/>
      <c r="F368" s="94"/>
      <c r="G368" s="1"/>
      <c r="H368" s="1"/>
      <c r="I368" s="1"/>
      <c r="J368" s="4"/>
    </row>
    <row r="369" spans="2:10">
      <c r="B369" s="1"/>
      <c r="C369" s="1"/>
      <c r="D369" s="1"/>
      <c r="E369" s="1"/>
      <c r="F369" s="94"/>
      <c r="G369" s="1"/>
      <c r="H369" s="1"/>
      <c r="I369" s="1"/>
      <c r="J369" s="4"/>
    </row>
    <row r="370" spans="2:10">
      <c r="B370" s="1"/>
      <c r="C370" s="1"/>
      <c r="D370" s="1"/>
      <c r="E370" s="1"/>
      <c r="F370" s="94"/>
      <c r="G370" s="1"/>
      <c r="H370" s="1"/>
      <c r="I370" s="1"/>
      <c r="J370" s="4"/>
    </row>
    <row r="371" spans="2:10">
      <c r="B371" s="1"/>
      <c r="C371" s="1"/>
      <c r="D371" s="1"/>
      <c r="E371" s="1"/>
      <c r="F371" s="94"/>
      <c r="G371" s="1"/>
      <c r="H371" s="1"/>
      <c r="I371" s="1"/>
      <c r="J371" s="4"/>
    </row>
    <row r="372" spans="2:10">
      <c r="B372" s="1"/>
      <c r="C372" s="1"/>
      <c r="D372" s="1"/>
      <c r="E372" s="1"/>
      <c r="F372" s="94"/>
      <c r="G372" s="1"/>
      <c r="H372" s="1"/>
      <c r="I372" s="1"/>
      <c r="J372" s="4"/>
    </row>
    <row r="373" spans="2:10">
      <c r="B373" s="1"/>
      <c r="C373" s="1"/>
      <c r="D373" s="1"/>
      <c r="E373" s="1"/>
      <c r="F373" s="94"/>
      <c r="G373" s="1"/>
      <c r="H373" s="1"/>
      <c r="I373" s="1"/>
      <c r="J373" s="4"/>
    </row>
    <row r="374" spans="2:10">
      <c r="B374" s="1"/>
      <c r="C374" s="1"/>
      <c r="D374" s="1"/>
      <c r="E374" s="1"/>
      <c r="F374" s="94"/>
      <c r="G374" s="1"/>
      <c r="H374" s="1"/>
      <c r="I374" s="1"/>
      <c r="J374" s="4"/>
    </row>
    <row r="375" spans="2:10">
      <c r="B375" s="1"/>
      <c r="C375" s="1"/>
      <c r="D375" s="1"/>
      <c r="E375" s="1"/>
      <c r="F375" s="94"/>
      <c r="G375" s="1"/>
      <c r="H375" s="1"/>
      <c r="I375" s="1"/>
      <c r="J375" s="4"/>
    </row>
    <row r="376" spans="2:10">
      <c r="B376" s="1"/>
      <c r="C376" s="1"/>
      <c r="D376" s="1"/>
      <c r="E376" s="1"/>
      <c r="F376" s="94"/>
      <c r="G376" s="1"/>
      <c r="H376" s="1"/>
      <c r="I376" s="1"/>
      <c r="J376" s="4"/>
    </row>
    <row r="377" spans="2:10">
      <c r="B377" s="1"/>
      <c r="C377" s="1"/>
      <c r="D377" s="1"/>
      <c r="E377" s="1"/>
      <c r="F377" s="94"/>
      <c r="G377" s="1"/>
      <c r="H377" s="1"/>
      <c r="I377" s="1"/>
      <c r="J377" s="4"/>
    </row>
    <row r="378" spans="2:10">
      <c r="B378" s="1"/>
      <c r="C378" s="1"/>
      <c r="D378" s="1"/>
      <c r="E378" s="1"/>
      <c r="F378" s="94"/>
      <c r="G378" s="1"/>
      <c r="H378" s="1"/>
      <c r="I378" s="1"/>
      <c r="J378" s="4"/>
    </row>
    <row r="379" spans="2:10">
      <c r="B379" s="1"/>
      <c r="C379" s="1"/>
      <c r="D379" s="1"/>
      <c r="E379" s="1"/>
      <c r="F379" s="94"/>
      <c r="G379" s="1"/>
      <c r="H379" s="1"/>
      <c r="I379" s="1"/>
      <c r="J379" s="4"/>
    </row>
    <row r="380" spans="2:10">
      <c r="B380" s="1"/>
      <c r="C380" s="1"/>
      <c r="D380" s="1"/>
      <c r="E380" s="1"/>
      <c r="F380" s="94"/>
      <c r="G380" s="1"/>
      <c r="H380" s="1"/>
      <c r="I380" s="1"/>
      <c r="J380" s="4"/>
    </row>
    <row r="381" spans="2:10">
      <c r="B381" s="1"/>
      <c r="C381" s="1"/>
      <c r="D381" s="1"/>
      <c r="E381" s="1"/>
      <c r="F381" s="94"/>
      <c r="G381" s="1"/>
      <c r="H381" s="1"/>
      <c r="I381" s="1"/>
      <c r="J381" s="4"/>
    </row>
    <row r="382" spans="2:10">
      <c r="B382" s="1"/>
      <c r="C382" s="1"/>
      <c r="D382" s="1"/>
      <c r="E382" s="1"/>
      <c r="F382" s="94"/>
      <c r="G382" s="1"/>
      <c r="H382" s="1"/>
      <c r="I382" s="1"/>
      <c r="J382" s="4"/>
    </row>
    <row r="383" spans="2:10">
      <c r="B383" s="1"/>
      <c r="C383" s="1"/>
      <c r="D383" s="1"/>
      <c r="E383" s="1"/>
      <c r="F383" s="94"/>
      <c r="G383" s="1"/>
      <c r="H383" s="1"/>
      <c r="I383" s="1"/>
      <c r="J383" s="4"/>
    </row>
    <row r="384" spans="2:10">
      <c r="B384" s="1"/>
      <c r="C384" s="1"/>
      <c r="D384" s="1"/>
      <c r="E384" s="1"/>
      <c r="F384" s="94"/>
      <c r="G384" s="1"/>
      <c r="H384" s="1"/>
      <c r="I384" s="1"/>
      <c r="J384" s="4"/>
    </row>
    <row r="385" spans="2:10">
      <c r="B385" s="1"/>
      <c r="C385" s="1"/>
      <c r="D385" s="1"/>
      <c r="E385" s="1"/>
      <c r="F385" s="94"/>
      <c r="G385" s="1"/>
      <c r="H385" s="1"/>
      <c r="I385" s="1"/>
      <c r="J385" s="4"/>
    </row>
    <row r="386" spans="2:10">
      <c r="B386" s="1"/>
      <c r="C386" s="1"/>
      <c r="D386" s="1"/>
      <c r="E386" s="1"/>
      <c r="F386" s="94"/>
      <c r="G386" s="1"/>
      <c r="H386" s="1"/>
      <c r="I386" s="1"/>
      <c r="J386" s="4"/>
    </row>
    <row r="387" spans="2:10">
      <c r="B387" s="1"/>
      <c r="C387" s="1"/>
      <c r="D387" s="1"/>
      <c r="E387" s="1"/>
      <c r="F387" s="94"/>
      <c r="G387" s="1"/>
      <c r="H387" s="1"/>
      <c r="I387" s="1"/>
      <c r="J387" s="4"/>
    </row>
    <row r="388" spans="2:10">
      <c r="B388" s="1"/>
      <c r="C388" s="1"/>
      <c r="D388" s="1"/>
      <c r="E388" s="1"/>
      <c r="F388" s="94"/>
      <c r="G388" s="1"/>
      <c r="H388" s="1"/>
      <c r="I388" s="1"/>
      <c r="J388" s="4"/>
    </row>
    <row r="389" spans="2:10">
      <c r="B389" s="1"/>
      <c r="C389" s="1"/>
      <c r="D389" s="1"/>
      <c r="E389" s="1"/>
      <c r="F389" s="94"/>
      <c r="G389" s="1"/>
      <c r="H389" s="1"/>
      <c r="I389" s="1"/>
      <c r="J389" s="4"/>
    </row>
    <row r="390" spans="2:10">
      <c r="B390" s="1"/>
      <c r="C390" s="1"/>
      <c r="D390" s="1"/>
      <c r="E390" s="1"/>
      <c r="F390" s="94"/>
      <c r="G390" s="1"/>
      <c r="H390" s="1"/>
      <c r="I390" s="1"/>
      <c r="J390" s="4"/>
    </row>
    <row r="391" spans="2:10">
      <c r="B391" s="1"/>
      <c r="C391" s="1"/>
      <c r="D391" s="1"/>
      <c r="E391" s="1"/>
      <c r="F391" s="94"/>
      <c r="G391" s="1"/>
      <c r="H391" s="1"/>
      <c r="I391" s="1"/>
      <c r="J391" s="4"/>
    </row>
    <row r="392" spans="2:10">
      <c r="B392" s="1"/>
      <c r="C392" s="1"/>
      <c r="D392" s="1"/>
      <c r="E392" s="1"/>
      <c r="F392" s="94"/>
      <c r="G392" s="1"/>
      <c r="H392" s="1"/>
      <c r="I392" s="1"/>
      <c r="J392" s="4"/>
    </row>
    <row r="393" spans="2:10">
      <c r="B393" s="1"/>
      <c r="C393" s="1"/>
      <c r="D393" s="1"/>
      <c r="E393" s="1"/>
      <c r="F393" s="94"/>
      <c r="G393" s="1"/>
      <c r="H393" s="1"/>
      <c r="I393" s="1"/>
      <c r="J393" s="4"/>
    </row>
    <row r="394" spans="2:10">
      <c r="B394" s="1"/>
      <c r="C394" s="1"/>
      <c r="D394" s="1"/>
      <c r="E394" s="1"/>
      <c r="F394" s="94"/>
      <c r="G394" s="1"/>
      <c r="H394" s="1"/>
      <c r="I394" s="1"/>
      <c r="J394" s="4"/>
    </row>
    <row r="395" spans="2:10">
      <c r="B395" s="1"/>
      <c r="C395" s="1"/>
      <c r="D395" s="1"/>
      <c r="E395" s="1"/>
      <c r="F395" s="94"/>
      <c r="G395" s="1"/>
      <c r="H395" s="1"/>
      <c r="I395" s="1"/>
      <c r="J395" s="4"/>
    </row>
    <row r="396" spans="2:10">
      <c r="B396" s="1"/>
      <c r="C396" s="1"/>
      <c r="D396" s="1"/>
      <c r="E396" s="1"/>
      <c r="F396" s="94"/>
      <c r="G396" s="1"/>
      <c r="H396" s="1"/>
      <c r="I396" s="1"/>
      <c r="J396" s="4"/>
    </row>
    <row r="397" spans="2:10">
      <c r="B397" s="1"/>
      <c r="C397" s="1"/>
      <c r="D397" s="1"/>
      <c r="E397" s="1"/>
      <c r="F397" s="94"/>
      <c r="G397" s="1"/>
      <c r="H397" s="1"/>
      <c r="I397" s="1"/>
      <c r="J397" s="4"/>
    </row>
    <row r="398" spans="2:10">
      <c r="B398" s="1"/>
      <c r="C398" s="1"/>
      <c r="D398" s="1"/>
      <c r="E398" s="1"/>
      <c r="F398" s="94"/>
      <c r="G398" s="1"/>
      <c r="H398" s="1"/>
      <c r="I398" s="1"/>
      <c r="J398" s="4"/>
    </row>
    <row r="399" spans="2:10">
      <c r="B399" s="1"/>
      <c r="C399" s="1"/>
      <c r="D399" s="1"/>
      <c r="E399" s="1"/>
      <c r="F399" s="94"/>
      <c r="G399" s="1"/>
      <c r="H399" s="1"/>
      <c r="I399" s="1"/>
      <c r="J399" s="4"/>
    </row>
    <row r="400" spans="2:10">
      <c r="B400" s="1"/>
      <c r="C400" s="1"/>
      <c r="D400" s="1"/>
      <c r="E400" s="1"/>
      <c r="F400" s="94"/>
      <c r="G400" s="1"/>
      <c r="H400" s="1"/>
      <c r="I400" s="1"/>
      <c r="J400" s="4"/>
    </row>
    <row r="401" spans="2:10">
      <c r="B401" s="1"/>
      <c r="C401" s="1"/>
      <c r="D401" s="1"/>
      <c r="E401" s="1"/>
      <c r="F401" s="94"/>
      <c r="G401" s="1"/>
      <c r="H401" s="1"/>
      <c r="I401" s="1"/>
      <c r="J401" s="4"/>
    </row>
    <row r="402" spans="2:10">
      <c r="B402" s="1"/>
      <c r="C402" s="1"/>
      <c r="D402" s="1"/>
      <c r="E402" s="1"/>
      <c r="F402" s="94"/>
      <c r="G402" s="1"/>
      <c r="H402" s="1"/>
      <c r="I402" s="1"/>
      <c r="J402" s="4"/>
    </row>
    <row r="403" spans="2:10">
      <c r="B403" s="1"/>
      <c r="C403" s="1"/>
      <c r="D403" s="1"/>
      <c r="E403" s="1"/>
      <c r="F403" s="94"/>
      <c r="G403" s="1"/>
      <c r="H403" s="1"/>
      <c r="I403" s="1"/>
      <c r="J403" s="4"/>
    </row>
    <row r="404" spans="2:10">
      <c r="B404" s="1"/>
      <c r="C404" s="1"/>
      <c r="D404" s="1"/>
      <c r="E404" s="1"/>
      <c r="F404" s="94"/>
      <c r="G404" s="1"/>
      <c r="H404" s="1"/>
      <c r="I404" s="1"/>
      <c r="J404" s="4"/>
    </row>
    <row r="405" spans="2:10">
      <c r="B405" s="1"/>
      <c r="C405" s="1"/>
      <c r="D405" s="1"/>
      <c r="E405" s="1"/>
      <c r="F405" s="94"/>
      <c r="G405" s="1"/>
      <c r="H405" s="1"/>
      <c r="I405" s="1"/>
      <c r="J405" s="4"/>
    </row>
    <row r="406" spans="2:10">
      <c r="B406" s="1"/>
      <c r="C406" s="1"/>
      <c r="D406" s="1"/>
      <c r="E406" s="1"/>
      <c r="F406" s="94"/>
      <c r="G406" s="1"/>
      <c r="H406" s="1"/>
      <c r="I406" s="1"/>
      <c r="J406" s="4"/>
    </row>
    <row r="407" spans="2:10">
      <c r="B407" s="1"/>
      <c r="C407" s="1"/>
      <c r="D407" s="1"/>
      <c r="E407" s="1"/>
      <c r="F407" s="94"/>
      <c r="G407" s="1"/>
      <c r="H407" s="1"/>
      <c r="I407" s="1"/>
      <c r="J407" s="4"/>
    </row>
    <row r="408" spans="2:10">
      <c r="B408" s="1"/>
      <c r="C408" s="1"/>
      <c r="D408" s="1"/>
      <c r="E408" s="1"/>
      <c r="F408" s="94"/>
      <c r="G408" s="1"/>
      <c r="H408" s="1"/>
      <c r="I408" s="1"/>
      <c r="J408" s="4"/>
    </row>
    <row r="409" spans="2:10">
      <c r="B409" s="1"/>
      <c r="C409" s="1"/>
      <c r="D409" s="1"/>
      <c r="E409" s="1"/>
      <c r="F409" s="94"/>
      <c r="G409" s="1"/>
      <c r="H409" s="1"/>
      <c r="I409" s="1"/>
      <c r="J409" s="4"/>
    </row>
    <row r="410" spans="2:10">
      <c r="B410" s="1"/>
      <c r="C410" s="1"/>
      <c r="D410" s="1"/>
      <c r="E410" s="1"/>
      <c r="F410" s="94"/>
      <c r="G410" s="1"/>
      <c r="H410" s="1"/>
      <c r="I410" s="1"/>
      <c r="J410" s="4"/>
    </row>
    <row r="411" spans="2:10">
      <c r="B411" s="1"/>
      <c r="C411" s="1"/>
      <c r="D411" s="1"/>
      <c r="E411" s="1"/>
      <c r="F411" s="94"/>
      <c r="G411" s="1"/>
      <c r="H411" s="1"/>
      <c r="I411" s="1"/>
      <c r="J411" s="4"/>
    </row>
    <row r="412" spans="2:10">
      <c r="B412" s="1"/>
      <c r="C412" s="1"/>
      <c r="D412" s="1"/>
      <c r="E412" s="1"/>
      <c r="F412" s="94"/>
      <c r="G412" s="1"/>
      <c r="H412" s="1"/>
      <c r="I412" s="1"/>
      <c r="J412" s="4"/>
    </row>
    <row r="413" spans="2:10">
      <c r="B413" s="1"/>
      <c r="C413" s="1"/>
      <c r="D413" s="1"/>
      <c r="E413" s="1"/>
      <c r="F413" s="94"/>
      <c r="G413" s="1"/>
      <c r="H413" s="1"/>
      <c r="I413" s="1"/>
      <c r="J413" s="4"/>
    </row>
    <row r="414" spans="2:10">
      <c r="B414" s="1"/>
      <c r="C414" s="1"/>
      <c r="D414" s="1"/>
      <c r="E414" s="1"/>
      <c r="F414" s="94"/>
      <c r="G414" s="1"/>
      <c r="H414" s="1"/>
      <c r="I414" s="1"/>
      <c r="J414" s="4"/>
    </row>
    <row r="415" spans="2:10">
      <c r="B415" s="1"/>
      <c r="C415" s="1"/>
      <c r="D415" s="1"/>
      <c r="E415" s="1"/>
      <c r="F415" s="94"/>
      <c r="G415" s="1"/>
      <c r="H415" s="1"/>
      <c r="I415" s="1"/>
      <c r="J415" s="4"/>
    </row>
    <row r="416" spans="2:10">
      <c r="B416" s="1"/>
      <c r="C416" s="1"/>
      <c r="D416" s="1"/>
      <c r="E416" s="1"/>
      <c r="F416" s="94"/>
      <c r="G416" s="1"/>
      <c r="H416" s="1"/>
      <c r="I416" s="1"/>
      <c r="J416" s="4"/>
    </row>
    <row r="417" spans="2:10">
      <c r="B417" s="1"/>
      <c r="C417" s="1"/>
      <c r="D417" s="1"/>
      <c r="E417" s="1"/>
      <c r="F417" s="94"/>
      <c r="G417" s="1"/>
      <c r="H417" s="1"/>
      <c r="I417" s="1"/>
      <c r="J417" s="4"/>
    </row>
    <row r="418" spans="2:10">
      <c r="B418" s="1"/>
      <c r="C418" s="1"/>
      <c r="D418" s="1"/>
      <c r="E418" s="1"/>
      <c r="F418" s="94"/>
      <c r="G418" s="1"/>
      <c r="H418" s="1"/>
      <c r="I418" s="1"/>
      <c r="J418" s="4"/>
    </row>
    <row r="419" spans="2:10">
      <c r="B419" s="1"/>
      <c r="C419" s="1"/>
      <c r="D419" s="1"/>
      <c r="E419" s="1"/>
      <c r="F419" s="94"/>
      <c r="G419" s="1"/>
      <c r="H419" s="1"/>
      <c r="I419" s="1"/>
      <c r="J419" s="4"/>
    </row>
    <row r="420" spans="2:10">
      <c r="B420" s="1"/>
      <c r="C420" s="1"/>
      <c r="D420" s="1"/>
      <c r="E420" s="1"/>
      <c r="F420" s="94"/>
      <c r="G420" s="1"/>
      <c r="H420" s="1"/>
      <c r="I420" s="1"/>
      <c r="J420" s="4"/>
    </row>
    <row r="421" spans="2:10">
      <c r="B421" s="1"/>
      <c r="C421" s="1"/>
      <c r="D421" s="1"/>
      <c r="E421" s="1"/>
      <c r="F421" s="94"/>
      <c r="G421" s="1"/>
      <c r="H421" s="1"/>
      <c r="I421" s="1"/>
      <c r="J421" s="4"/>
    </row>
    <row r="422" spans="2:10">
      <c r="B422" s="1"/>
      <c r="C422" s="1"/>
      <c r="D422" s="1"/>
      <c r="E422" s="1"/>
      <c r="F422" s="94"/>
      <c r="G422" s="1"/>
      <c r="H422" s="1"/>
      <c r="I422" s="1"/>
      <c r="J422" s="4"/>
    </row>
    <row r="423" spans="2:10">
      <c r="B423" s="1"/>
      <c r="C423" s="1"/>
      <c r="D423" s="1"/>
      <c r="E423" s="1"/>
      <c r="F423" s="94"/>
      <c r="G423" s="1"/>
      <c r="H423" s="1"/>
      <c r="I423" s="1"/>
      <c r="J423" s="4"/>
    </row>
    <row r="424" spans="2:10">
      <c r="B424" s="1"/>
      <c r="C424" s="1"/>
      <c r="D424" s="1"/>
      <c r="E424" s="1"/>
      <c r="F424" s="94"/>
      <c r="G424" s="1"/>
      <c r="H424" s="1"/>
      <c r="I424" s="1"/>
      <c r="J424" s="4"/>
    </row>
    <row r="425" spans="2:10">
      <c r="B425" s="1"/>
      <c r="C425" s="1"/>
      <c r="D425" s="1"/>
      <c r="E425" s="1"/>
      <c r="F425" s="94"/>
      <c r="G425" s="1"/>
      <c r="H425" s="1"/>
      <c r="I425" s="1"/>
      <c r="J425" s="4"/>
    </row>
    <row r="426" spans="2:10">
      <c r="B426" s="1"/>
      <c r="C426" s="1"/>
      <c r="D426" s="1"/>
      <c r="E426" s="1"/>
      <c r="F426" s="94"/>
      <c r="G426" s="1"/>
      <c r="H426" s="1"/>
      <c r="I426" s="1"/>
      <c r="J426" s="4"/>
    </row>
    <row r="427" spans="2:10">
      <c r="B427" s="1"/>
      <c r="C427" s="1"/>
      <c r="D427" s="1"/>
      <c r="E427" s="1"/>
      <c r="F427" s="94"/>
      <c r="G427" s="1"/>
      <c r="H427" s="1"/>
      <c r="I427" s="1"/>
      <c r="J427" s="4"/>
    </row>
    <row r="428" spans="2:10">
      <c r="B428" s="1"/>
      <c r="C428" s="1"/>
      <c r="D428" s="1"/>
      <c r="E428" s="1"/>
      <c r="F428" s="94"/>
      <c r="G428" s="1"/>
      <c r="H428" s="1"/>
      <c r="I428" s="1"/>
      <c r="J428" s="4"/>
    </row>
    <row r="429" spans="2:10">
      <c r="B429" s="1"/>
      <c r="C429" s="1"/>
      <c r="D429" s="1"/>
      <c r="E429" s="1"/>
      <c r="F429" s="94"/>
      <c r="G429" s="1"/>
      <c r="H429" s="1"/>
      <c r="I429" s="1"/>
      <c r="J429" s="4"/>
    </row>
    <row r="430" spans="2:10">
      <c r="B430" s="1"/>
      <c r="C430" s="1"/>
      <c r="D430" s="1"/>
      <c r="E430" s="1"/>
      <c r="F430" s="94"/>
      <c r="G430" s="1"/>
      <c r="H430" s="1"/>
      <c r="I430" s="1"/>
      <c r="J430" s="4"/>
    </row>
    <row r="431" spans="2:10">
      <c r="B431" s="1"/>
      <c r="C431" s="1"/>
      <c r="D431" s="1"/>
      <c r="E431" s="1"/>
      <c r="F431" s="94"/>
      <c r="G431" s="1"/>
      <c r="H431" s="1"/>
      <c r="I431" s="1"/>
      <c r="J431" s="4"/>
    </row>
    <row r="432" spans="2:10">
      <c r="B432" s="1"/>
      <c r="C432" s="1"/>
      <c r="D432" s="1"/>
      <c r="E432" s="1"/>
      <c r="F432" s="94"/>
      <c r="G432" s="1"/>
      <c r="H432" s="1"/>
      <c r="I432" s="1"/>
      <c r="J432" s="4"/>
    </row>
    <row r="433" spans="2:10">
      <c r="B433" s="1"/>
      <c r="C433" s="1"/>
      <c r="D433" s="1"/>
      <c r="E433" s="1"/>
      <c r="F433" s="94"/>
      <c r="G433" s="1"/>
      <c r="H433" s="1"/>
      <c r="I433" s="1"/>
      <c r="J433" s="4"/>
    </row>
    <row r="434" spans="2:10">
      <c r="B434" s="1"/>
      <c r="C434" s="1"/>
      <c r="D434" s="1"/>
      <c r="E434" s="1"/>
      <c r="F434" s="94"/>
      <c r="G434" s="1"/>
      <c r="H434" s="1"/>
      <c r="I434" s="1"/>
      <c r="J434" s="4"/>
    </row>
    <row r="435" spans="2:10">
      <c r="B435" s="1"/>
      <c r="C435" s="1"/>
      <c r="D435" s="1"/>
      <c r="E435" s="1"/>
      <c r="F435" s="94"/>
      <c r="G435" s="1"/>
      <c r="H435" s="1"/>
      <c r="I435" s="1"/>
      <c r="J435" s="4"/>
    </row>
    <row r="436" spans="2:10">
      <c r="B436" s="1"/>
      <c r="C436" s="1"/>
      <c r="D436" s="1"/>
      <c r="E436" s="1"/>
      <c r="F436" s="94"/>
      <c r="G436" s="1"/>
      <c r="H436" s="1"/>
      <c r="I436" s="1"/>
      <c r="J436" s="4"/>
    </row>
    <row r="437" spans="2:10">
      <c r="B437" s="1"/>
      <c r="C437" s="1"/>
      <c r="D437" s="1"/>
      <c r="E437" s="1"/>
      <c r="F437" s="94"/>
      <c r="G437" s="1"/>
      <c r="H437" s="1"/>
      <c r="I437" s="1"/>
      <c r="J437" s="4"/>
    </row>
    <row r="438" spans="2:10">
      <c r="B438" s="1"/>
      <c r="C438" s="1"/>
      <c r="D438" s="1"/>
      <c r="E438" s="1"/>
      <c r="F438" s="94"/>
      <c r="G438" s="1"/>
      <c r="H438" s="1"/>
      <c r="I438" s="1"/>
      <c r="J438" s="4"/>
    </row>
    <row r="439" spans="2:10">
      <c r="B439" s="1"/>
      <c r="C439" s="1"/>
      <c r="D439" s="1"/>
      <c r="E439" s="1"/>
      <c r="F439" s="94"/>
      <c r="G439" s="1"/>
      <c r="H439" s="1"/>
      <c r="I439" s="1"/>
      <c r="J439" s="4"/>
    </row>
    <row r="440" spans="2:10">
      <c r="B440" s="1"/>
      <c r="C440" s="1"/>
      <c r="D440" s="1"/>
      <c r="E440" s="1"/>
      <c r="F440" s="94"/>
      <c r="G440" s="1"/>
      <c r="H440" s="1"/>
      <c r="I440" s="1"/>
      <c r="J440" s="4"/>
    </row>
    <row r="441" spans="2:10">
      <c r="B441" s="1"/>
      <c r="C441" s="1"/>
      <c r="D441" s="1"/>
      <c r="E441" s="1"/>
      <c r="F441" s="94"/>
      <c r="G441" s="1"/>
      <c r="H441" s="1"/>
      <c r="I441" s="1"/>
      <c r="J441" s="4"/>
    </row>
    <row r="442" spans="2:10">
      <c r="B442" s="1"/>
      <c r="C442" s="1"/>
      <c r="D442" s="1"/>
      <c r="E442" s="1"/>
      <c r="F442" s="94"/>
      <c r="G442" s="1"/>
      <c r="H442" s="1"/>
      <c r="I442" s="1"/>
      <c r="J442" s="4"/>
    </row>
    <row r="443" spans="2:10">
      <c r="J443" s="5"/>
    </row>
    <row r="444" spans="2:10">
      <c r="J444" s="5"/>
    </row>
    <row r="445" spans="2:10">
      <c r="J445" s="5"/>
    </row>
    <row r="446" spans="2:10">
      <c r="J446" s="5"/>
    </row>
    <row r="447" spans="2:10">
      <c r="J447" s="5"/>
    </row>
    <row r="448" spans="2:10">
      <c r="J448" s="5"/>
    </row>
    <row r="449" spans="10:10">
      <c r="J449" s="5"/>
    </row>
    <row r="450" spans="10:10">
      <c r="J450" s="5"/>
    </row>
    <row r="451" spans="10:10">
      <c r="J451" s="5"/>
    </row>
    <row r="452" spans="10:10">
      <c r="J452" s="5"/>
    </row>
    <row r="453" spans="10:10">
      <c r="J453" s="5"/>
    </row>
    <row r="454" spans="10:10">
      <c r="J454" s="5"/>
    </row>
    <row r="455" spans="10:10">
      <c r="J455" s="5"/>
    </row>
    <row r="456" spans="10:10">
      <c r="J456" s="5"/>
    </row>
    <row r="457" spans="10:10">
      <c r="J457" s="5"/>
    </row>
    <row r="458" spans="10:10">
      <c r="J458" s="5"/>
    </row>
    <row r="459" spans="10:10">
      <c r="J459" s="5"/>
    </row>
    <row r="460" spans="10:10">
      <c r="J460" s="5"/>
    </row>
    <row r="461" spans="10:10">
      <c r="J461" s="5"/>
    </row>
    <row r="462" spans="10:10">
      <c r="J462" s="5"/>
    </row>
    <row r="463" spans="10:10">
      <c r="J463" s="5"/>
    </row>
    <row r="464" spans="10:10">
      <c r="J464" s="5"/>
    </row>
    <row r="465" spans="10:10">
      <c r="J465" s="5"/>
    </row>
    <row r="466" spans="10:10">
      <c r="J466" s="5"/>
    </row>
    <row r="467" spans="10:10">
      <c r="J467" s="5"/>
    </row>
    <row r="468" spans="10:10">
      <c r="J468" s="5"/>
    </row>
    <row r="469" spans="10:10">
      <c r="J469" s="5"/>
    </row>
    <row r="470" spans="10:10">
      <c r="J470" s="5"/>
    </row>
    <row r="471" spans="10:10">
      <c r="J471" s="5"/>
    </row>
    <row r="472" spans="10:10">
      <c r="J472" s="5"/>
    </row>
    <row r="473" spans="10:10">
      <c r="J473" s="5"/>
    </row>
    <row r="474" spans="10:10">
      <c r="J474" s="5"/>
    </row>
    <row r="475" spans="10:10">
      <c r="J475" s="5"/>
    </row>
    <row r="476" spans="10:10">
      <c r="J476" s="5"/>
    </row>
    <row r="477" spans="10:10">
      <c r="J477" s="5"/>
    </row>
    <row r="478" spans="10:10">
      <c r="J478" s="5"/>
    </row>
    <row r="479" spans="10:10">
      <c r="J479" s="5"/>
    </row>
    <row r="480" spans="10:10">
      <c r="J480" s="5"/>
    </row>
    <row r="481" spans="10:10">
      <c r="J481" s="5"/>
    </row>
    <row r="482" spans="10:10">
      <c r="J482" s="5"/>
    </row>
    <row r="483" spans="10:10">
      <c r="J483" s="5"/>
    </row>
    <row r="484" spans="10:10">
      <c r="J484" s="5"/>
    </row>
    <row r="485" spans="10:10">
      <c r="J485" s="5"/>
    </row>
    <row r="486" spans="10:10">
      <c r="J486" s="5"/>
    </row>
    <row r="487" spans="10:10">
      <c r="J487" s="5"/>
    </row>
    <row r="488" spans="10:10">
      <c r="J488" s="5"/>
    </row>
    <row r="489" spans="10:10">
      <c r="J489" s="5"/>
    </row>
    <row r="490" spans="10:10">
      <c r="J490" s="5"/>
    </row>
    <row r="491" spans="10:10">
      <c r="J491" s="5"/>
    </row>
    <row r="492" spans="10:10">
      <c r="J492" s="5"/>
    </row>
    <row r="493" spans="10:10">
      <c r="J493" s="5"/>
    </row>
    <row r="494" spans="10:10">
      <c r="J494" s="5"/>
    </row>
    <row r="495" spans="10:10">
      <c r="J495" s="5"/>
    </row>
    <row r="496" spans="10:10">
      <c r="J496" s="5"/>
    </row>
    <row r="497" spans="10:10">
      <c r="J497" s="5"/>
    </row>
    <row r="498" spans="10:10">
      <c r="J498" s="5"/>
    </row>
    <row r="499" spans="10:10">
      <c r="J499" s="5"/>
    </row>
    <row r="500" spans="10:10">
      <c r="J500" s="5"/>
    </row>
    <row r="501" spans="10:10">
      <c r="J501" s="5"/>
    </row>
    <row r="502" spans="10:10">
      <c r="J502" s="5"/>
    </row>
    <row r="503" spans="10:10">
      <c r="J503" s="5"/>
    </row>
    <row r="504" spans="10:10">
      <c r="J504" s="5"/>
    </row>
    <row r="505" spans="10:10">
      <c r="J505" s="5"/>
    </row>
    <row r="506" spans="10:10">
      <c r="J506" s="5"/>
    </row>
    <row r="507" spans="10:10">
      <c r="J507" s="5"/>
    </row>
    <row r="508" spans="10:10">
      <c r="J508" s="5"/>
    </row>
    <row r="509" spans="10:10">
      <c r="J509" s="5"/>
    </row>
    <row r="510" spans="10:10">
      <c r="J510" s="5"/>
    </row>
    <row r="511" spans="10:10">
      <c r="J511" s="5"/>
    </row>
    <row r="512" spans="10:10">
      <c r="J512" s="5"/>
    </row>
    <row r="513" spans="10:10">
      <c r="J513" s="5"/>
    </row>
    <row r="514" spans="10:10">
      <c r="J514" s="5"/>
    </row>
    <row r="515" spans="10:10">
      <c r="J515" s="5"/>
    </row>
    <row r="516" spans="10:10">
      <c r="J516" s="5"/>
    </row>
    <row r="517" spans="10:10">
      <c r="J517" s="5"/>
    </row>
    <row r="518" spans="10:10">
      <c r="J518" s="5"/>
    </row>
    <row r="519" spans="10:10">
      <c r="J519" s="5"/>
    </row>
    <row r="520" spans="10:10">
      <c r="J520" s="5"/>
    </row>
    <row r="521" spans="10:10">
      <c r="J521" s="5"/>
    </row>
    <row r="522" spans="10:10">
      <c r="J522" s="5"/>
    </row>
    <row r="523" spans="10:10">
      <c r="J523" s="5"/>
    </row>
    <row r="524" spans="10:10">
      <c r="J524" s="5"/>
    </row>
    <row r="525" spans="10:10">
      <c r="J525" s="5"/>
    </row>
    <row r="526" spans="10:10">
      <c r="J526" s="5"/>
    </row>
    <row r="527" spans="10:10">
      <c r="J527" s="5"/>
    </row>
    <row r="528" spans="10:10">
      <c r="J528" s="5"/>
    </row>
    <row r="529" spans="10:10">
      <c r="J529" s="5"/>
    </row>
    <row r="530" spans="10:10">
      <c r="J530" s="5"/>
    </row>
    <row r="531" spans="10:10">
      <c r="J531" s="5"/>
    </row>
    <row r="532" spans="10:10">
      <c r="J532" s="5"/>
    </row>
    <row r="533" spans="10:10">
      <c r="J533" s="5"/>
    </row>
    <row r="534" spans="10:10">
      <c r="J534" s="5"/>
    </row>
    <row r="535" spans="10:10">
      <c r="J535" s="5"/>
    </row>
    <row r="536" spans="10:10">
      <c r="J536" s="5"/>
    </row>
    <row r="537" spans="10:10">
      <c r="J537" s="5"/>
    </row>
    <row r="538" spans="10:10">
      <c r="J538" s="5"/>
    </row>
    <row r="539" spans="10:10">
      <c r="J539" s="5"/>
    </row>
    <row r="540" spans="10:10">
      <c r="J540" s="5"/>
    </row>
    <row r="541" spans="10:10">
      <c r="J541" s="5"/>
    </row>
    <row r="542" spans="10:10">
      <c r="J542" s="5"/>
    </row>
    <row r="543" spans="10:10">
      <c r="J543" s="5"/>
    </row>
    <row r="544" spans="10:10">
      <c r="J544" s="5"/>
    </row>
    <row r="545" spans="10:10">
      <c r="J545" s="5"/>
    </row>
    <row r="546" spans="10:10">
      <c r="J546" s="5"/>
    </row>
    <row r="547" spans="10:10">
      <c r="J547" s="5"/>
    </row>
    <row r="548" spans="10:10">
      <c r="J548" s="5"/>
    </row>
    <row r="549" spans="10:10">
      <c r="J549" s="5"/>
    </row>
    <row r="550" spans="10:10">
      <c r="J550" s="5"/>
    </row>
    <row r="551" spans="10:10">
      <c r="J551" s="5"/>
    </row>
    <row r="552" spans="10:10">
      <c r="J552" s="5"/>
    </row>
    <row r="553" spans="10:10">
      <c r="J553" s="5"/>
    </row>
    <row r="554" spans="10:10">
      <c r="J554" s="5"/>
    </row>
    <row r="555" spans="10:10">
      <c r="J555" s="5"/>
    </row>
    <row r="556" spans="10:10">
      <c r="J556" s="5"/>
    </row>
    <row r="557" spans="10:10">
      <c r="J557" s="5"/>
    </row>
    <row r="558" spans="10:10">
      <c r="J558" s="5"/>
    </row>
    <row r="559" spans="10:10">
      <c r="J559" s="5"/>
    </row>
    <row r="560" spans="10:10">
      <c r="J560" s="5"/>
    </row>
    <row r="561" spans="10:10">
      <c r="J561" s="5"/>
    </row>
    <row r="562" spans="10:10">
      <c r="J562" s="5"/>
    </row>
    <row r="563" spans="10:10">
      <c r="J563" s="5"/>
    </row>
    <row r="564" spans="10:10">
      <c r="J564" s="5"/>
    </row>
    <row r="565" spans="10:10">
      <c r="J565" s="5"/>
    </row>
    <row r="566" spans="10:10">
      <c r="J566" s="5"/>
    </row>
    <row r="567" spans="10:10">
      <c r="J567" s="5"/>
    </row>
    <row r="568" spans="10:10">
      <c r="J568" s="5"/>
    </row>
    <row r="569" spans="10:10">
      <c r="J569" s="5"/>
    </row>
    <row r="570" spans="10:10">
      <c r="J570" s="5"/>
    </row>
    <row r="571" spans="10:10">
      <c r="J571" s="5"/>
    </row>
    <row r="572" spans="10:10">
      <c r="J572" s="5"/>
    </row>
    <row r="573" spans="10:10">
      <c r="J573" s="5"/>
    </row>
    <row r="574" spans="10:10">
      <c r="J574" s="5"/>
    </row>
    <row r="575" spans="10:10">
      <c r="J575" s="5"/>
    </row>
    <row r="576" spans="10:10">
      <c r="J576" s="5"/>
    </row>
    <row r="577" spans="10:10">
      <c r="J577" s="5"/>
    </row>
    <row r="578" spans="10:10">
      <c r="J578" s="5"/>
    </row>
    <row r="579" spans="10:10">
      <c r="J579" s="5"/>
    </row>
    <row r="580" spans="10:10">
      <c r="J580" s="5"/>
    </row>
    <row r="581" spans="10:10">
      <c r="J581" s="5"/>
    </row>
    <row r="582" spans="10:10">
      <c r="J582" s="5"/>
    </row>
    <row r="583" spans="10:10">
      <c r="J583" s="5"/>
    </row>
    <row r="584" spans="10:10">
      <c r="J584" s="5"/>
    </row>
    <row r="585" spans="10:10">
      <c r="J585" s="5"/>
    </row>
    <row r="586" spans="10:10">
      <c r="J586" s="5"/>
    </row>
    <row r="587" spans="10:10">
      <c r="J587" s="5"/>
    </row>
    <row r="588" spans="10:10">
      <c r="J588" s="5"/>
    </row>
    <row r="589" spans="10:10">
      <c r="J589" s="5"/>
    </row>
    <row r="590" spans="10:10">
      <c r="J590" s="5"/>
    </row>
    <row r="591" spans="10:10">
      <c r="J591" s="5"/>
    </row>
    <row r="592" spans="10:10">
      <c r="J592" s="5"/>
    </row>
    <row r="593" spans="10:10">
      <c r="J593" s="5"/>
    </row>
    <row r="594" spans="10:10">
      <c r="J594" s="5"/>
    </row>
    <row r="595" spans="10:10">
      <c r="J595" s="5"/>
    </row>
    <row r="596" spans="10:10">
      <c r="J596" s="5"/>
    </row>
    <row r="597" spans="10:10">
      <c r="J597" s="5"/>
    </row>
    <row r="598" spans="10:10">
      <c r="J598" s="5"/>
    </row>
    <row r="599" spans="10:10">
      <c r="J599" s="5"/>
    </row>
    <row r="600" spans="10:10">
      <c r="J600" s="5"/>
    </row>
    <row r="601" spans="10:10">
      <c r="J601" s="5"/>
    </row>
    <row r="602" spans="10:10">
      <c r="J602" s="5"/>
    </row>
    <row r="603" spans="10:10">
      <c r="J603" s="5"/>
    </row>
    <row r="604" spans="10:10">
      <c r="J604" s="5"/>
    </row>
    <row r="605" spans="10:10">
      <c r="J605" s="5"/>
    </row>
    <row r="606" spans="10:10">
      <c r="J606" s="5"/>
    </row>
    <row r="607" spans="10:10">
      <c r="J607" s="5"/>
    </row>
    <row r="608" spans="10:10">
      <c r="J608" s="5"/>
    </row>
    <row r="609" spans="10:10">
      <c r="J609" s="5"/>
    </row>
    <row r="610" spans="10:10">
      <c r="J610" s="5"/>
    </row>
    <row r="611" spans="10:10">
      <c r="J611" s="5"/>
    </row>
    <row r="612" spans="10:10">
      <c r="J612" s="5"/>
    </row>
    <row r="613" spans="10:10">
      <c r="J613" s="5"/>
    </row>
    <row r="614" spans="10:10">
      <c r="J614" s="5"/>
    </row>
    <row r="615" spans="10:10">
      <c r="J615" s="5"/>
    </row>
    <row r="616" spans="10:10">
      <c r="J616" s="5"/>
    </row>
    <row r="617" spans="10:10">
      <c r="J617" s="5"/>
    </row>
    <row r="618" spans="10:10">
      <c r="J618" s="5"/>
    </row>
    <row r="619" spans="10:10">
      <c r="J619" s="5"/>
    </row>
    <row r="620" spans="10:10">
      <c r="J620" s="5"/>
    </row>
    <row r="621" spans="10:10">
      <c r="J621" s="5"/>
    </row>
    <row r="622" spans="10:10">
      <c r="J622" s="5"/>
    </row>
    <row r="623" spans="10:10">
      <c r="J623" s="5"/>
    </row>
    <row r="624" spans="10:10">
      <c r="J624" s="5"/>
    </row>
    <row r="625" spans="10:10">
      <c r="J625" s="5"/>
    </row>
    <row r="626" spans="10:10">
      <c r="J626" s="5"/>
    </row>
    <row r="627" spans="10:10">
      <c r="J627" s="5"/>
    </row>
    <row r="628" spans="10:10">
      <c r="J628" s="5"/>
    </row>
    <row r="629" spans="10:10">
      <c r="J629" s="5"/>
    </row>
    <row r="630" spans="10:10">
      <c r="J630" s="5"/>
    </row>
    <row r="631" spans="10:10">
      <c r="J631" s="5"/>
    </row>
    <row r="632" spans="10:10">
      <c r="J632" s="5"/>
    </row>
    <row r="633" spans="10:10">
      <c r="J633" s="5"/>
    </row>
    <row r="634" spans="10:10">
      <c r="J634" s="5"/>
    </row>
    <row r="635" spans="10:10">
      <c r="J635" s="5"/>
    </row>
    <row r="636" spans="10:10">
      <c r="J636" s="5"/>
    </row>
    <row r="637" spans="10:10">
      <c r="J637" s="5"/>
    </row>
    <row r="638" spans="10:10">
      <c r="J638" s="5"/>
    </row>
    <row r="639" spans="10:10">
      <c r="J639" s="5"/>
    </row>
    <row r="640" spans="10:10">
      <c r="J640" s="5"/>
    </row>
    <row r="641" spans="10:10">
      <c r="J641" s="5"/>
    </row>
    <row r="642" spans="10:10">
      <c r="J642" s="5"/>
    </row>
    <row r="643" spans="10:10">
      <c r="J643" s="5"/>
    </row>
    <row r="644" spans="10:10">
      <c r="J644" s="5"/>
    </row>
    <row r="645" spans="10:10">
      <c r="J645" s="5"/>
    </row>
    <row r="646" spans="10:10">
      <c r="J646" s="5"/>
    </row>
    <row r="647" spans="10:10">
      <c r="J647" s="5"/>
    </row>
    <row r="648" spans="10:10">
      <c r="J648" s="5"/>
    </row>
    <row r="649" spans="10:10">
      <c r="J649" s="5"/>
    </row>
    <row r="650" spans="10:10">
      <c r="J650" s="5"/>
    </row>
    <row r="651" spans="10:10">
      <c r="J651" s="5"/>
    </row>
    <row r="652" spans="10:10">
      <c r="J652" s="5"/>
    </row>
    <row r="653" spans="10:10">
      <c r="J653" s="5"/>
    </row>
    <row r="654" spans="10:10">
      <c r="J654" s="5"/>
    </row>
    <row r="655" spans="10:10">
      <c r="J655" s="5"/>
    </row>
    <row r="656" spans="10:10">
      <c r="J656" s="5"/>
    </row>
    <row r="657" spans="10:10">
      <c r="J657" s="5"/>
    </row>
    <row r="658" spans="10:10">
      <c r="J658" s="5"/>
    </row>
    <row r="659" spans="10:10">
      <c r="J659" s="5"/>
    </row>
    <row r="660" spans="10:10">
      <c r="J660" s="5"/>
    </row>
    <row r="661" spans="10:10">
      <c r="J661" s="5"/>
    </row>
    <row r="662" spans="10:10">
      <c r="J662" s="5"/>
    </row>
    <row r="663" spans="10:10">
      <c r="J663" s="5"/>
    </row>
    <row r="664" spans="10:10">
      <c r="J664" s="5"/>
    </row>
    <row r="665" spans="10:10">
      <c r="J665" s="5"/>
    </row>
    <row r="666" spans="10:10">
      <c r="J666" s="5"/>
    </row>
    <row r="667" spans="10:10">
      <c r="J667" s="5"/>
    </row>
    <row r="668" spans="10:10">
      <c r="J668" s="5"/>
    </row>
    <row r="669" spans="10:10">
      <c r="J669" s="5"/>
    </row>
    <row r="670" spans="10:10">
      <c r="J670" s="5"/>
    </row>
    <row r="671" spans="10:10">
      <c r="J671" s="5"/>
    </row>
    <row r="672" spans="10:10">
      <c r="J672" s="5"/>
    </row>
    <row r="673" spans="10:10">
      <c r="J673" s="5"/>
    </row>
    <row r="674" spans="10:10">
      <c r="J674" s="5"/>
    </row>
    <row r="675" spans="10:10">
      <c r="J675" s="5"/>
    </row>
    <row r="676" spans="10:10">
      <c r="J676" s="5"/>
    </row>
    <row r="677" spans="10:10">
      <c r="J677" s="5"/>
    </row>
    <row r="678" spans="10:10">
      <c r="J678" s="5"/>
    </row>
    <row r="679" spans="10:10">
      <c r="J679" s="5"/>
    </row>
    <row r="680" spans="10:10">
      <c r="J680" s="5"/>
    </row>
    <row r="681" spans="10:10">
      <c r="J681" s="5"/>
    </row>
    <row r="682" spans="10:10">
      <c r="J682" s="5"/>
    </row>
    <row r="683" spans="10:10">
      <c r="J683" s="5"/>
    </row>
    <row r="684" spans="10:10">
      <c r="J684" s="5"/>
    </row>
    <row r="685" spans="10:10">
      <c r="J685" s="5"/>
    </row>
    <row r="686" spans="10:10">
      <c r="J686" s="5"/>
    </row>
    <row r="687" spans="10:10">
      <c r="J687" s="5"/>
    </row>
    <row r="688" spans="10:10">
      <c r="J688" s="5"/>
    </row>
    <row r="689" spans="10:10">
      <c r="J689" s="5"/>
    </row>
    <row r="690" spans="10:10">
      <c r="J690" s="5"/>
    </row>
    <row r="691" spans="10:10">
      <c r="J691" s="5"/>
    </row>
    <row r="692" spans="10:10">
      <c r="J692" s="5"/>
    </row>
    <row r="693" spans="10:10">
      <c r="J693" s="5"/>
    </row>
    <row r="694" spans="10:10">
      <c r="J694" s="5"/>
    </row>
    <row r="695" spans="10:10">
      <c r="J695" s="5"/>
    </row>
    <row r="696" spans="10:10">
      <c r="J696" s="5"/>
    </row>
    <row r="697" spans="10:10">
      <c r="J697" s="5"/>
    </row>
    <row r="698" spans="10:10">
      <c r="J698" s="5"/>
    </row>
    <row r="699" spans="10:10">
      <c r="J699" s="5"/>
    </row>
    <row r="700" spans="10:10">
      <c r="J700" s="5"/>
    </row>
    <row r="701" spans="10:10">
      <c r="J701" s="5"/>
    </row>
    <row r="702" spans="10:10">
      <c r="J702" s="5"/>
    </row>
  </sheetData>
  <autoFilter ref="A15:R108"/>
  <mergeCells count="8">
    <mergeCell ref="B9:C9"/>
    <mergeCell ref="B10:C10"/>
    <mergeCell ref="B11:C11"/>
    <mergeCell ref="B4:C4"/>
    <mergeCell ref="B5:C5"/>
    <mergeCell ref="B6:C6"/>
    <mergeCell ref="B7:C7"/>
    <mergeCell ref="B8:C8"/>
  </mergeCells>
  <phoneticPr fontId="15" type="noConversion"/>
  <conditionalFormatting sqref="I65 I67:I68 J79:K79 K65:K78 I72 I74 I70 D16:D113">
    <cfRule type="containsText" dxfId="58" priority="35" operator="containsText" text="waiting for customer">
      <formula>NOT(ISERROR(SEARCH("waiting for customer",D16)))</formula>
    </cfRule>
    <cfRule type="containsText" dxfId="57" priority="82" operator="containsText" text="Closed">
      <formula>NOT(ISERROR(SEARCH("Closed",D16)))</formula>
    </cfRule>
    <cfRule type="containsText" dxfId="56" priority="83" operator="containsText" text="Blocked">
      <formula>NOT(ISERROR(SEARCH("Blocked",D16)))</formula>
    </cfRule>
    <cfRule type="containsText" dxfId="55" priority="84" operator="containsText" text="On Hold">
      <formula>NOT(ISERROR(SEARCH("On Hold",D16)))</formula>
    </cfRule>
    <cfRule type="containsText" dxfId="54" priority="85" operator="containsText" text="In Progress">
      <formula>NOT(ISERROR(SEARCH("In Progress",D16)))</formula>
    </cfRule>
    <cfRule type="containsText" dxfId="53" priority="86" operator="containsText" text="Not Started">
      <formula>NOT(ISERROR(SEARCH("Not Started",D16)))</formula>
    </cfRule>
  </conditionalFormatting>
  <conditionalFormatting sqref="E16:E24 E26:E113">
    <cfRule type="containsText" dxfId="52" priority="78" operator="containsText" text="Critical">
      <formula>NOT(ISERROR(SEARCH("Critical",E16)))</formula>
    </cfRule>
    <cfRule type="containsText" dxfId="51" priority="79" operator="containsText" text="High">
      <formula>NOT(ISERROR(SEARCH("High",E16)))</formula>
    </cfRule>
    <cfRule type="containsText" dxfId="50" priority="80" operator="containsText" text="Medium">
      <formula>NOT(ISERROR(SEARCH("Medium",E16)))</formula>
    </cfRule>
    <cfRule type="containsText" dxfId="49" priority="81" operator="containsText" text="Low">
      <formula>NOT(ISERROR(SEARCH("Low",E16)))</formula>
    </cfRule>
  </conditionalFormatting>
  <conditionalFormatting sqref="F16:F24 F26:F79 F81:F113">
    <cfRule type="containsText" dxfId="48" priority="72" operator="containsText" text="Budget">
      <formula>NOT(ISERROR(SEARCH("Budget",F16)))</formula>
    </cfRule>
    <cfRule type="containsText" dxfId="47" priority="73" operator="containsText" text="Vendor">
      <formula>NOT(ISERROR(SEARCH("Vendor",F16)))</formula>
    </cfRule>
    <cfRule type="containsText" dxfId="46" priority="74" operator="containsText" text="Risk">
      <formula>NOT(ISERROR(SEARCH("Risk",F16)))</formula>
    </cfRule>
    <cfRule type="containsText" dxfId="45" priority="75" operator="containsText" text="Scope">
      <formula>NOT(ISERROR(SEARCH("Scope",F16)))</formula>
    </cfRule>
    <cfRule type="containsText" dxfId="44" priority="76" operator="containsText" text="Resource">
      <formula>NOT(ISERROR(SEARCH("Resource",F16)))</formula>
    </cfRule>
    <cfRule type="containsText" dxfId="43" priority="77" operator="containsText" text="Timeline">
      <formula>NOT(ISERROR(SEARCH("Timeline",F16)))</formula>
    </cfRule>
  </conditionalFormatting>
  <conditionalFormatting sqref="I64 K33:K38 I52:I53 I58 I62 K42:K63">
    <cfRule type="containsText" dxfId="42" priority="67" operator="containsText" text="Closed">
      <formula>NOT(ISERROR(SEARCH("Closed",I33)))</formula>
    </cfRule>
    <cfRule type="containsText" dxfId="41" priority="68" operator="containsText" text="Blocked">
      <formula>NOT(ISERROR(SEARCH("Blocked",I33)))</formula>
    </cfRule>
    <cfRule type="containsText" dxfId="40" priority="69" operator="containsText" text="On Hold">
      <formula>NOT(ISERROR(SEARCH("On Hold",I33)))</formula>
    </cfRule>
    <cfRule type="containsText" dxfId="39" priority="70" operator="containsText" text="In Progress">
      <formula>NOT(ISERROR(SEARCH("In Progress",I33)))</formula>
    </cfRule>
    <cfRule type="containsText" dxfId="38" priority="71" operator="containsText" text="Not Started">
      <formula>NOT(ISERROR(SEARCH("Not Started",I33)))</formula>
    </cfRule>
  </conditionalFormatting>
  <conditionalFormatting sqref="E25">
    <cfRule type="containsText" dxfId="37" priority="42" operator="containsText" text="Critical">
      <formula>NOT(ISERROR(SEARCH("Critical",E25)))</formula>
    </cfRule>
    <cfRule type="containsText" dxfId="36" priority="43" operator="containsText" text="High">
      <formula>NOT(ISERROR(SEARCH("High",E25)))</formula>
    </cfRule>
    <cfRule type="containsText" dxfId="35" priority="44" operator="containsText" text="Medium">
      <formula>NOT(ISERROR(SEARCH("Medium",E25)))</formula>
    </cfRule>
    <cfRule type="containsText" dxfId="34" priority="45" operator="containsText" text="Low">
      <formula>NOT(ISERROR(SEARCH("Low",E25)))</formula>
    </cfRule>
  </conditionalFormatting>
  <conditionalFormatting sqref="F25">
    <cfRule type="containsText" dxfId="33" priority="36" operator="containsText" text="Budget">
      <formula>NOT(ISERROR(SEARCH("Budget",F25)))</formula>
    </cfRule>
    <cfRule type="containsText" dxfId="32" priority="37" operator="containsText" text="Vendor">
      <formula>NOT(ISERROR(SEARCH("Vendor",F25)))</formula>
    </cfRule>
    <cfRule type="containsText" dxfId="31" priority="38" operator="containsText" text="Risk">
      <formula>NOT(ISERROR(SEARCH("Risk",F25)))</formula>
    </cfRule>
    <cfRule type="containsText" dxfId="30" priority="39" operator="containsText" text="Scope">
      <formula>NOT(ISERROR(SEARCH("Scope",F25)))</formula>
    </cfRule>
    <cfRule type="containsText" dxfId="29" priority="40" operator="containsText" text="Resource">
      <formula>NOT(ISERROR(SEARCH("Resource",F25)))</formula>
    </cfRule>
    <cfRule type="containsText" dxfId="28" priority="41" operator="containsText" text="Timeline">
      <formula>NOT(ISERROR(SEARCH("Timeline",F25)))</formula>
    </cfRule>
  </conditionalFormatting>
  <conditionalFormatting sqref="I80:K80 K81:K82 J83:K87">
    <cfRule type="containsText" dxfId="27" priority="19" operator="containsText" text="waiting for customer">
      <formula>NOT(ISERROR(SEARCH("waiting for customer",I80)))</formula>
    </cfRule>
    <cfRule type="containsText" dxfId="26" priority="30" operator="containsText" text="Closed">
      <formula>NOT(ISERROR(SEARCH("Closed",I80)))</formula>
    </cfRule>
    <cfRule type="containsText" dxfId="25" priority="31" operator="containsText" text="Blocked">
      <formula>NOT(ISERROR(SEARCH("Blocked",I80)))</formula>
    </cfRule>
    <cfRule type="containsText" dxfId="24" priority="32" operator="containsText" text="On Hold">
      <formula>NOT(ISERROR(SEARCH("On Hold",I80)))</formula>
    </cfRule>
    <cfRule type="containsText" dxfId="23" priority="33" operator="containsText" text="In Progress">
      <formula>NOT(ISERROR(SEARCH("In Progress",I80)))</formula>
    </cfRule>
    <cfRule type="containsText" dxfId="22" priority="34" operator="containsText" text="Not Started">
      <formula>NOT(ISERROR(SEARCH("Not Started",I80)))</formula>
    </cfRule>
  </conditionalFormatting>
  <conditionalFormatting sqref="F80">
    <cfRule type="containsText" dxfId="21" priority="20" operator="containsText" text="Budget">
      <formula>NOT(ISERROR(SEARCH("Budget",F80)))</formula>
    </cfRule>
    <cfRule type="containsText" dxfId="20" priority="21" operator="containsText" text="Vendor">
      <formula>NOT(ISERROR(SEARCH("Vendor",F80)))</formula>
    </cfRule>
    <cfRule type="containsText" dxfId="19" priority="22" operator="containsText" text="Risk">
      <formula>NOT(ISERROR(SEARCH("Risk",F80)))</formula>
    </cfRule>
    <cfRule type="containsText" dxfId="18" priority="23" operator="containsText" text="Scope">
      <formula>NOT(ISERROR(SEARCH("Scope",F80)))</formula>
    </cfRule>
    <cfRule type="containsText" dxfId="17" priority="24" operator="containsText" text="Resource">
      <formula>NOT(ISERROR(SEARCH("Resource",F80)))</formula>
    </cfRule>
    <cfRule type="containsText" dxfId="16" priority="25" operator="containsText" text="Timeline">
      <formula>NOT(ISERROR(SEARCH("Timeline",F80)))</formula>
    </cfRule>
  </conditionalFormatting>
  <pageMargins left="0.3" right="0.3" top="0.3" bottom="0.3" header="0" footer="0"/>
  <pageSetup paperSize="3" scale="88" fitToHeight="0" orientation="landscape" horizontalDpi="4294967292" verticalDpi="4294967292" r:id="rId1"/>
  <rowBreaks count="1" manualBreakCount="1">
    <brk id="14" min="1" max="11" man="1"/>
  </rowBreaks>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14:formula1>
            <xm:f>'Key - Do Not Delete'!$B$4:$B$8</xm:f>
          </x14:formula1>
          <xm:sqref>D43:D47</xm:sqref>
        </x14:dataValidation>
        <x14:dataValidation type="list" allowBlank="1" showInputMessage="1" showErrorMessage="1">
          <x14:formula1>
            <xm:f>'Key - Do Not Delete'!$F$4:$F$14</xm:f>
          </x14:formula1>
          <xm:sqref>F20:F79 F81:F113</xm:sqref>
        </x14:dataValidation>
        <x14:dataValidation type="list" allowBlank="1" showInputMessage="1" showErrorMessage="1">
          <x14:formula1>
            <xm:f>'Key - Do Not Delete'!$B$4:$B$9</xm:f>
          </x14:formula1>
          <xm:sqref>D16:D42 D48:D113</xm:sqref>
        </x14:dataValidation>
        <x14:dataValidation type="list" allowBlank="1" showInputMessage="1" showErrorMessage="1">
          <x14:formula1>
            <xm:f>'Key - Do Not Delete'!$F$4:$F$19</xm:f>
          </x14:formula1>
          <xm:sqref>F16:F19</xm:sqref>
        </x14:dataValidation>
        <x14:dataValidation type="list" allowBlank="1" showInputMessage="1" showErrorMessage="1">
          <x14:formula1>
            <xm:f>'Key - Do Not Delete'!$D$4:$D$7</xm:f>
          </x14:formula1>
          <xm:sqref>E16:E113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10"/>
  <sheetViews>
    <sheetView workbookViewId="0">
      <selection activeCell="F8" sqref="F8"/>
    </sheetView>
  </sheetViews>
  <sheetFormatPr baseColWidth="10" defaultColWidth="8.6640625" defaultRowHeight="15.5"/>
  <cols>
    <col min="1" max="1" width="15.25" customWidth="1"/>
    <col min="2" max="2" width="41.9140625" customWidth="1"/>
    <col min="3" max="3" width="36.1640625" customWidth="1"/>
    <col min="4" max="4" width="18.08203125" customWidth="1"/>
  </cols>
  <sheetData>
    <row r="1" spans="1:4" ht="18.5" customHeight="1">
      <c r="A1" s="114" t="s">
        <v>64</v>
      </c>
      <c r="B1" s="114"/>
      <c r="C1" s="114"/>
      <c r="D1" s="114"/>
    </row>
    <row r="2" spans="1:4">
      <c r="A2" s="114"/>
      <c r="B2" s="114"/>
      <c r="C2" s="114"/>
      <c r="D2" s="114"/>
    </row>
    <row r="3" spans="1:4" ht="18.5">
      <c r="A3" s="85" t="s">
        <v>65</v>
      </c>
      <c r="B3" s="85" t="s">
        <v>71</v>
      </c>
      <c r="C3" s="85" t="s">
        <v>66</v>
      </c>
      <c r="D3" s="85" t="s">
        <v>84</v>
      </c>
    </row>
    <row r="4" spans="1:4" ht="46.5">
      <c r="A4" s="86" t="s">
        <v>67</v>
      </c>
      <c r="B4" s="87" t="s">
        <v>72</v>
      </c>
      <c r="C4" s="87" t="s">
        <v>68</v>
      </c>
      <c r="D4" s="86"/>
    </row>
    <row r="5" spans="1:4" ht="108.5">
      <c r="A5" s="86" t="s">
        <v>69</v>
      </c>
      <c r="B5" s="88" t="s">
        <v>70</v>
      </c>
      <c r="C5" s="87" t="s">
        <v>73</v>
      </c>
      <c r="D5" s="87" t="s">
        <v>74</v>
      </c>
    </row>
    <row r="6" spans="1:4" ht="31">
      <c r="A6" s="86" t="s">
        <v>75</v>
      </c>
      <c r="B6" s="86" t="s">
        <v>76</v>
      </c>
      <c r="C6" s="87" t="s">
        <v>77</v>
      </c>
      <c r="D6" s="86"/>
    </row>
    <row r="7" spans="1:4" ht="46.5">
      <c r="A7" s="86" t="s">
        <v>78</v>
      </c>
      <c r="B7" s="87" t="s">
        <v>79</v>
      </c>
      <c r="C7" s="87" t="s">
        <v>80</v>
      </c>
      <c r="D7" s="86"/>
    </row>
    <row r="8" spans="1:4" ht="108.5">
      <c r="A8" s="86" t="s">
        <v>81</v>
      </c>
      <c r="B8" s="87" t="s">
        <v>82</v>
      </c>
      <c r="C8" s="87" t="s">
        <v>83</v>
      </c>
      <c r="D8" s="87" t="s">
        <v>85</v>
      </c>
    </row>
    <row r="9" spans="1:4" ht="31">
      <c r="A9" s="86" t="s">
        <v>86</v>
      </c>
      <c r="B9" s="87" t="s">
        <v>87</v>
      </c>
      <c r="C9" s="87" t="s">
        <v>88</v>
      </c>
      <c r="D9" s="86"/>
    </row>
    <row r="10" spans="1:4" ht="46.5">
      <c r="A10" s="86" t="s">
        <v>89</v>
      </c>
      <c r="B10" s="87" t="s">
        <v>90</v>
      </c>
      <c r="C10" s="87" t="s">
        <v>91</v>
      </c>
      <c r="D10" s="86"/>
    </row>
  </sheetData>
  <mergeCells count="1">
    <mergeCell ref="A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7D200"/>
  </sheetPr>
  <dimension ref="A2:R16"/>
  <sheetViews>
    <sheetView showGridLines="0" topLeftCell="A3" workbookViewId="0">
      <selection activeCell="F10" sqref="F10"/>
    </sheetView>
  </sheetViews>
  <sheetFormatPr baseColWidth="10" defaultColWidth="8.83203125" defaultRowHeight="15.5"/>
  <cols>
    <col min="1" max="1" width="3.6640625" customWidth="1"/>
    <col min="2" max="2" width="15.6640625" customWidth="1"/>
    <col min="4" max="4" width="15.6640625" customWidth="1"/>
    <col min="6" max="6" width="24.58203125" customWidth="1"/>
    <col min="7" max="7" width="3.6640625" customWidth="1"/>
  </cols>
  <sheetData>
    <row r="2" spans="1:18" s="2" customFormat="1" ht="50" customHeight="1">
      <c r="A2" s="1"/>
      <c r="B2" s="23" t="s">
        <v>19</v>
      </c>
      <c r="C2" s="12"/>
      <c r="D2" s="12"/>
      <c r="E2" s="12"/>
      <c r="F2" s="12"/>
      <c r="G2" s="12"/>
      <c r="H2" s="12"/>
      <c r="I2" s="12"/>
      <c r="J2" s="12"/>
      <c r="K2" s="12"/>
      <c r="L2" s="1"/>
      <c r="M2" s="1"/>
      <c r="N2" s="1"/>
      <c r="O2" s="1"/>
      <c r="P2" s="1"/>
      <c r="Q2" s="1"/>
      <c r="R2" s="1"/>
    </row>
    <row r="3" spans="1:18" ht="22" customHeight="1">
      <c r="B3" s="15" t="s">
        <v>1</v>
      </c>
      <c r="D3" s="15" t="s">
        <v>2</v>
      </c>
      <c r="F3" s="82" t="s">
        <v>23</v>
      </c>
    </row>
    <row r="4" spans="1:18" ht="22" customHeight="1">
      <c r="B4" s="13" t="s">
        <v>5</v>
      </c>
      <c r="D4" s="13" t="s">
        <v>7</v>
      </c>
      <c r="F4" s="40" t="s">
        <v>24</v>
      </c>
    </row>
    <row r="5" spans="1:18" ht="22" customHeight="1">
      <c r="B5" s="13" t="s">
        <v>6</v>
      </c>
      <c r="D5" s="13" t="s">
        <v>8</v>
      </c>
      <c r="F5" s="40" t="s">
        <v>26</v>
      </c>
    </row>
    <row r="6" spans="1:18" ht="22" customHeight="1">
      <c r="B6" s="13" t="s">
        <v>15</v>
      </c>
      <c r="D6" s="13" t="s">
        <v>9</v>
      </c>
      <c r="F6" s="40" t="s">
        <v>27</v>
      </c>
    </row>
    <row r="7" spans="1:18" ht="22" customHeight="1">
      <c r="B7" s="13" t="s">
        <v>16</v>
      </c>
      <c r="D7" s="13" t="s">
        <v>18</v>
      </c>
      <c r="F7" s="40" t="s">
        <v>28</v>
      </c>
    </row>
    <row r="8" spans="1:18" ht="22" customHeight="1">
      <c r="B8" s="63" t="s">
        <v>17</v>
      </c>
      <c r="F8" s="40" t="s">
        <v>29</v>
      </c>
    </row>
    <row r="9" spans="1:18" ht="33" customHeight="1">
      <c r="B9" s="34" t="s">
        <v>40</v>
      </c>
      <c r="F9" s="40" t="s">
        <v>30</v>
      </c>
    </row>
    <row r="10" spans="1:18" ht="16">
      <c r="F10" s="83" t="s">
        <v>31</v>
      </c>
    </row>
    <row r="11" spans="1:18" ht="16">
      <c r="F11" s="83" t="s">
        <v>32</v>
      </c>
    </row>
    <row r="12" spans="1:18" ht="16">
      <c r="F12" s="83" t="s">
        <v>33</v>
      </c>
    </row>
    <row r="13" spans="1:18" ht="16">
      <c r="F13" s="83" t="s">
        <v>34</v>
      </c>
    </row>
    <row r="14" spans="1:18" ht="16">
      <c r="F14" s="83" t="s">
        <v>35</v>
      </c>
    </row>
    <row r="15" spans="1:18" ht="16">
      <c r="F15" s="83" t="s">
        <v>57</v>
      </c>
    </row>
    <row r="16" spans="1:18" ht="16">
      <c r="F16" s="83" t="s">
        <v>58</v>
      </c>
    </row>
  </sheetData>
  <conditionalFormatting sqref="B4:B9">
    <cfRule type="containsText" dxfId="15" priority="1" operator="containsText" text="waiting for customer">
      <formula>NOT(ISERROR(SEARCH("waiting for customer",B4)))</formula>
    </cfRule>
    <cfRule type="containsText" dxfId="14" priority="12" operator="containsText" text="Closed">
      <formula>NOT(ISERROR(SEARCH("Closed",B4)))</formula>
    </cfRule>
    <cfRule type="containsText" dxfId="13" priority="13" operator="containsText" text="Blocked">
      <formula>NOT(ISERROR(SEARCH("Blocked",B4)))</formula>
    </cfRule>
    <cfRule type="containsText" dxfId="12" priority="14" operator="containsText" text="On Hold">
      <formula>NOT(ISERROR(SEARCH("On Hold",B4)))</formula>
    </cfRule>
    <cfRule type="containsText" dxfId="11" priority="15" operator="containsText" text="In Progress">
      <formula>NOT(ISERROR(SEARCH("In Progress",B4)))</formula>
    </cfRule>
    <cfRule type="containsText" dxfId="10" priority="16" operator="containsText" text="Not Started">
      <formula>NOT(ISERROR(SEARCH("Not Started",B4)))</formula>
    </cfRule>
  </conditionalFormatting>
  <conditionalFormatting sqref="D4:D7">
    <cfRule type="containsText" dxfId="9" priority="8" operator="containsText" text="Critical">
      <formula>NOT(ISERROR(SEARCH("Critical",D4)))</formula>
    </cfRule>
    <cfRule type="containsText" dxfId="8" priority="9" operator="containsText" text="High">
      <formula>NOT(ISERROR(SEARCH("High",D4)))</formula>
    </cfRule>
    <cfRule type="containsText" dxfId="7" priority="10" operator="containsText" text="Medium">
      <formula>NOT(ISERROR(SEARCH("Medium",D4)))</formula>
    </cfRule>
    <cfRule type="containsText" dxfId="6" priority="11" operator="containsText" text="Low">
      <formula>NOT(ISERROR(SEARCH("Low",D4)))</formula>
    </cfRule>
  </conditionalFormatting>
  <conditionalFormatting sqref="F4:F16">
    <cfRule type="containsText" dxfId="5" priority="2" operator="containsText" text="Budget">
      <formula>NOT(ISERROR(SEARCH("Budget",F4)))</formula>
    </cfRule>
    <cfRule type="containsText" dxfId="4" priority="3" operator="containsText" text="Vendor">
      <formula>NOT(ISERROR(SEARCH("Vendor",F4)))</formula>
    </cfRule>
    <cfRule type="containsText" dxfId="3" priority="4" operator="containsText" text="Risk">
      <formula>NOT(ISERROR(SEARCH("Risk",F4)))</formula>
    </cfRule>
    <cfRule type="containsText" dxfId="2" priority="5" operator="containsText" text="Scope">
      <formula>NOT(ISERROR(SEARCH("Scope",F4)))</formula>
    </cfRule>
    <cfRule type="containsText" dxfId="1" priority="6" operator="containsText" text="Resource">
      <formula>NOT(ISERROR(SEARCH("Resource",F4)))</formula>
    </cfRule>
    <cfRule type="containsText" dxfId="0" priority="7" operator="containsText" text="Timeline">
      <formula>NOT(ISERROR(SEARCH("Timeline",F4)))</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34998626667073579"/>
  </sheetPr>
  <dimension ref="B2"/>
  <sheetViews>
    <sheetView showGridLines="0" workbookViewId="0">
      <selection activeCell="B80" sqref="B80"/>
    </sheetView>
  </sheetViews>
  <sheetFormatPr baseColWidth="10" defaultColWidth="10.83203125" defaultRowHeight="14.5"/>
  <cols>
    <col min="1" max="1" width="3.33203125" style="7" customWidth="1"/>
    <col min="2" max="2" width="88.33203125" style="7" customWidth="1"/>
    <col min="3" max="16384" width="10.83203125" style="7"/>
  </cols>
  <sheetData>
    <row r="2" spans="2:2" ht="93">
      <c r="B2" s="6" t="s">
        <v>0</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PM Issue Tracking</vt:lpstr>
      <vt:lpstr>RECOMMENDATIONS</vt:lpstr>
      <vt:lpstr>Key - Do Not Delete</vt:lpstr>
      <vt:lpstr>-Disclaimer-</vt:lpstr>
      <vt:lpstr>'PM Issue Tracking'!Zone_d_impression</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Ange</cp:lastModifiedBy>
  <cp:lastPrinted>2025-10-06T00:07:17Z</cp:lastPrinted>
  <dcterms:created xsi:type="dcterms:W3CDTF">2015-08-25T20:54:23Z</dcterms:created>
  <dcterms:modified xsi:type="dcterms:W3CDTF">2026-10-19T08:09:08Z</dcterms:modified>
</cp:coreProperties>
</file>